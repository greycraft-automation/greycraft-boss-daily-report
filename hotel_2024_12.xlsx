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on\Desktop\Greycraft\Projects\greycraft-boss-daily-report\RRHotel\github\"/>
    </mc:Choice>
  </mc:AlternateContent>
  <xr:revisionPtr revIDLastSave="0" documentId="8_{1D11B4AC-F6FD-4CB4-AAFD-2A9618F432C9}" xr6:coauthVersionLast="47" xr6:coauthVersionMax="47" xr10:uidLastSave="{00000000-0000-0000-0000-000000000000}"/>
  <bookViews>
    <workbookView xWindow="-90" yWindow="-90" windowWidth="20660" windowHeight="10260" activeTab="2" xr2:uid="{D87AE7D7-3445-44B9-BF44-4456F8D6EFF6}"/>
  </bookViews>
  <sheets>
    <sheet name="1" sheetId="2" r:id="rId1"/>
    <sheet name="5" sheetId="1" r:id="rId2"/>
    <sheet name="3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3" l="1"/>
  <c r="M24" i="3"/>
  <c r="M24" i="2"/>
  <c r="M8" i="1"/>
  <c r="M24" i="1" s="1"/>
</calcChain>
</file>

<file path=xl/sharedStrings.xml><?xml version="1.0" encoding="utf-8"?>
<sst xmlns="http://schemas.openxmlformats.org/spreadsheetml/2006/main" count="209" uniqueCount="64">
  <si>
    <t>本日總額</t>
  </si>
  <si>
    <t>觀光旅遊</t>
  </si>
  <si>
    <t>LM17:58</t>
  </si>
  <si>
    <t>AGODA</t>
  </si>
  <si>
    <t>韓國</t>
  </si>
  <si>
    <t>可取消 9折</t>
  </si>
  <si>
    <t>住宿休息</t>
  </si>
  <si>
    <t>LM23:29</t>
  </si>
  <si>
    <t>台灣</t>
  </si>
  <si>
    <t>LM20:01</t>
  </si>
  <si>
    <t>波瀾</t>
  </si>
  <si>
    <t>LM21:22</t>
  </si>
  <si>
    <t>房款</t>
  </si>
  <si>
    <t>HOTELS</t>
  </si>
  <si>
    <t>中國</t>
  </si>
  <si>
    <t>不可取消 無折扣</t>
  </si>
  <si>
    <t>BOOKING</t>
  </si>
  <si>
    <t>可取消 無折扣</t>
  </si>
  <si>
    <t>易遊網</t>
  </si>
  <si>
    <t>香港</t>
  </si>
  <si>
    <t>LM20:19</t>
  </si>
  <si>
    <t>小</t>
  </si>
  <si>
    <t>大</t>
  </si>
  <si>
    <t>退房日</t>
  </si>
  <si>
    <t>進房日</t>
  </si>
  <si>
    <t>住宿目的</t>
  </si>
  <si>
    <t>E-mail</t>
  </si>
  <si>
    <t>電話</t>
  </si>
  <si>
    <t>備註</t>
  </si>
  <si>
    <t>收款人</t>
  </si>
  <si>
    <t>發票號碼</t>
  </si>
  <si>
    <t>付款內容</t>
  </si>
  <si>
    <t>金額</t>
  </si>
  <si>
    <t>1.現金             
2.刷卡(授權碼)
3.匯款(末五碼)
4.其它付款(訂單號碼)</t>
  </si>
  <si>
    <t>人數</t>
  </si>
  <si>
    <t>天數</t>
  </si>
  <si>
    <t>入住期間</t>
  </si>
  <si>
    <t>來源</t>
  </si>
  <si>
    <t>價別</t>
  </si>
  <si>
    <t>國籍</t>
  </si>
  <si>
    <t>姓名</t>
  </si>
  <si>
    <t>房號</t>
  </si>
  <si>
    <t>編號</t>
  </si>
  <si>
    <t>每日收款明細表</t>
  </si>
  <si>
    <t>不可取消 9折再95折</t>
  </si>
  <si>
    <t>新加坡</t>
  </si>
  <si>
    <t>klook</t>
  </si>
  <si>
    <t>延長一小時</t>
  </si>
  <si>
    <t>延長費</t>
  </si>
  <si>
    <t>美國</t>
  </si>
  <si>
    <t>不可取消 95折</t>
  </si>
  <si>
    <t>菲律賓</t>
  </si>
  <si>
    <t>不可取消 跨年價</t>
  </si>
  <si>
    <t>誇年價  平日85折</t>
  </si>
  <si>
    <t>可取消 無折扣   官網改現場</t>
  </si>
  <si>
    <t>現場</t>
  </si>
  <si>
    <t>散客</t>
  </si>
  <si>
    <t>越南</t>
  </si>
  <si>
    <t>特殊假日價 不可取消</t>
  </si>
  <si>
    <t>泰國</t>
  </si>
  <si>
    <t>攜程網</t>
  </si>
  <si>
    <t>KLOOK</t>
  </si>
  <si>
    <t>法國</t>
  </si>
  <si>
    <t>特殊假日價  不可取消  
原R502續住到R301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</si>
</sst>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;\-&quot;$&quot;#,##0"/>
    <numFmt numFmtId="6" formatCode="&quot;$&quot;#,##0;[Red]\-&quot;$&quot;#,##0"/>
    <numFmt numFmtId="44" formatCode="_-&quot;$&quot;* #,##0.00_-;\-&quot;$&quot;* #,##0.00_-;_-&quot;$&quot;* &quot;-&quot;??_-;_-@_-"/>
    <numFmt numFmtId="176" formatCode="_-&quot;$&quot;* #,##0_-;\-&quot;$&quot;* #,##0_-;_-&quot;$&quot;* &quot;-&quot;??_-;_-@_-"/>
    <numFmt numFmtId="177" formatCode="&quot;$&quot;#,##0"/>
    <numFmt numFmtId="178" formatCode="m/d"/>
    <numFmt numFmtId="179" formatCode="m&quot;月&quot;d&quot;日&quot;"/>
  </numFmts>
  <fonts count="1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u/>
      <sz val="12"/>
      <color theme="1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3.5"/>
      <name val="微軟正黑體"/>
      <family val="2"/>
      <charset val="136"/>
    </font>
    <font>
      <sz val="10"/>
      <name val="微軟正黑體"/>
      <family val="2"/>
      <charset val="136"/>
    </font>
    <font>
      <sz val="22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44" fontId="1" fillId="0" borderId="0">
      <alignment vertical="center"/>
    </xf>
    <xf numFmtId="0" fontId="4" fillId="0" borderId="0">
      <alignment vertical="top"/>
      <protection locked="0"/>
    </xf>
    <xf numFmtId="0" fontId="6" fillId="0" borderId="0"/>
  </cellStyleXfs>
  <cellXfs count="63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76" fontId="2" fillId="0" borderId="0" xfId="1" applyNumberFormat="1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5" fontId="5" fillId="0" borderId="2" xfId="2" applyNumberFormat="1" applyFont="1" applyBorder="1" applyAlignment="1" applyProtection="1">
      <alignment horizontal="center" vertical="center" wrapText="1"/>
    </xf>
    <xf numFmtId="177" fontId="7" fillId="0" borderId="3" xfId="3" applyNumberFormat="1" applyFont="1" applyBorder="1" applyAlignment="1">
      <alignment horizontal="center" vertical="center" wrapText="1"/>
    </xf>
    <xf numFmtId="49" fontId="7" fillId="0" borderId="4" xfId="3" applyNumberFormat="1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176" fontId="7" fillId="0" borderId="3" xfId="1" applyNumberFormat="1" applyFont="1" applyBorder="1" applyAlignment="1">
      <alignment horizontal="center" vertical="center" wrapText="1"/>
    </xf>
    <xf numFmtId="0" fontId="7" fillId="0" borderId="5" xfId="3" applyFont="1" applyBorder="1" applyAlignment="1">
      <alignment wrapText="1"/>
    </xf>
    <xf numFmtId="5" fontId="5" fillId="0" borderId="6" xfId="2" applyNumberFormat="1" applyFont="1" applyBorder="1" applyAlignment="1" applyProtection="1">
      <alignment horizontal="center" vertical="center" wrapText="1"/>
    </xf>
    <xf numFmtId="5" fontId="7" fillId="0" borderId="7" xfId="3" applyNumberFormat="1" applyFont="1" applyBorder="1" applyAlignment="1">
      <alignment horizontal="center" vertical="center" wrapText="1"/>
    </xf>
    <xf numFmtId="49" fontId="7" fillId="0" borderId="8" xfId="3" applyNumberFormat="1" applyFont="1" applyBorder="1" applyAlignment="1">
      <alignment horizontal="center" vertical="center" wrapText="1"/>
    </xf>
    <xf numFmtId="0" fontId="7" fillId="0" borderId="7" xfId="3" applyFont="1" applyBorder="1" applyAlignment="1">
      <alignment horizontal="center" vertical="center" wrapText="1"/>
    </xf>
    <xf numFmtId="177" fontId="7" fillId="0" borderId="7" xfId="3" applyNumberFormat="1" applyFont="1" applyBorder="1" applyAlignment="1">
      <alignment horizontal="center" vertical="center" wrapText="1"/>
    </xf>
    <xf numFmtId="176" fontId="7" fillId="0" borderId="7" xfId="1" applyNumberFormat="1" applyFont="1" applyBorder="1" applyAlignment="1">
      <alignment horizontal="center" vertical="center" wrapText="1"/>
    </xf>
    <xf numFmtId="178" fontId="7" fillId="0" borderId="7" xfId="3" applyNumberFormat="1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179" fontId="7" fillId="0" borderId="7" xfId="3" applyNumberFormat="1" applyFont="1" applyBorder="1" applyAlignment="1">
      <alignment horizontal="center" vertical="center" wrapText="1"/>
    </xf>
    <xf numFmtId="5" fontId="4" fillId="0" borderId="7" xfId="2" applyNumberFormat="1" applyBorder="1" applyAlignment="1" applyProtection="1">
      <alignment horizontal="center" vertical="center" wrapText="1"/>
    </xf>
    <xf numFmtId="177" fontId="7" fillId="0" borderId="10" xfId="3" applyNumberFormat="1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1" xfId="0" applyBorder="1" applyAlignment="1"/>
    <xf numFmtId="0" fontId="0" fillId="0" borderId="12" xfId="0" applyBorder="1" applyAlignment="1"/>
    <xf numFmtId="176" fontId="7" fillId="0" borderId="7" xfId="1" applyNumberFormat="1" applyFont="1" applyBorder="1" applyAlignment="1">
      <alignment horizontal="center" vertical="center" wrapText="1"/>
    </xf>
    <xf numFmtId="0" fontId="7" fillId="0" borderId="7" xfId="3" applyFont="1" applyBorder="1" applyAlignment="1">
      <alignment horizontal="center" vertical="center" wrapText="1"/>
    </xf>
    <xf numFmtId="5" fontId="4" fillId="0" borderId="8" xfId="2" applyNumberFormat="1" applyBorder="1" applyAlignment="1" applyProtection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0" fillId="0" borderId="13" xfId="0" applyBorder="1" applyAlignment="1"/>
    <xf numFmtId="0" fontId="0" fillId="0" borderId="14" xfId="0" applyBorder="1" applyAlignment="1"/>
    <xf numFmtId="0" fontId="9" fillId="2" borderId="7" xfId="3" applyFont="1" applyFill="1" applyBorder="1" applyAlignment="1">
      <alignment horizontal="center" vertical="center" wrapText="1"/>
    </xf>
    <xf numFmtId="0" fontId="0" fillId="0" borderId="15" xfId="0" applyBorder="1" applyAlignment="1"/>
    <xf numFmtId="0" fontId="9" fillId="2" borderId="16" xfId="3" applyFont="1" applyFill="1" applyBorder="1" applyAlignment="1">
      <alignment horizontal="center" vertical="center" wrapText="1"/>
    </xf>
    <xf numFmtId="0" fontId="9" fillId="2" borderId="17" xfId="3" applyFont="1" applyFill="1" applyBorder="1" applyAlignment="1">
      <alignment horizontal="center" vertical="center" wrapText="1"/>
    </xf>
    <xf numFmtId="49" fontId="9" fillId="2" borderId="18" xfId="3" applyNumberFormat="1" applyFont="1" applyFill="1" applyBorder="1" applyAlignment="1">
      <alignment horizontal="center" vertical="center" wrapText="1"/>
    </xf>
    <xf numFmtId="176" fontId="9" fillId="2" borderId="17" xfId="1" applyNumberFormat="1" applyFont="1" applyFill="1" applyBorder="1" applyAlignment="1">
      <alignment horizontal="center" vertical="center"/>
    </xf>
    <xf numFmtId="0" fontId="10" fillId="2" borderId="17" xfId="3" applyFont="1" applyFill="1" applyBorder="1" applyAlignment="1">
      <alignment horizontal="left" vertical="center" wrapText="1"/>
    </xf>
    <xf numFmtId="0" fontId="0" fillId="0" borderId="19" xfId="0" applyBorder="1" applyAlignment="1"/>
    <xf numFmtId="0" fontId="9" fillId="2" borderId="20" xfId="3" applyFont="1" applyFill="1" applyBorder="1" applyAlignment="1">
      <alignment horizontal="center" vertical="center" wrapText="1"/>
    </xf>
    <xf numFmtId="0" fontId="0" fillId="0" borderId="18" xfId="0" applyBorder="1" applyAlignment="1"/>
    <xf numFmtId="178" fontId="9" fillId="2" borderId="17" xfId="3" applyNumberFormat="1" applyFont="1" applyFill="1" applyBorder="1" applyAlignment="1">
      <alignment horizontal="center" vertical="center" wrapText="1"/>
    </xf>
    <xf numFmtId="0" fontId="7" fillId="2" borderId="17" xfId="3" applyFont="1" applyFill="1" applyBorder="1" applyAlignment="1">
      <alignment horizontal="center" vertical="center" wrapText="1"/>
    </xf>
    <xf numFmtId="0" fontId="7" fillId="2" borderId="21" xfId="3" applyFont="1" applyFill="1" applyBorder="1" applyAlignment="1">
      <alignment horizontal="center" vertical="center" wrapText="1"/>
    </xf>
    <xf numFmtId="0" fontId="0" fillId="0" borderId="22" xfId="0" applyBorder="1" applyAlignment="1"/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76" fontId="2" fillId="0" borderId="0" xfId="1" applyNumberFormat="1" applyFont="1" applyAlignment="1">
      <alignment vertical="center" wrapText="1"/>
    </xf>
    <xf numFmtId="0" fontId="11" fillId="0" borderId="22" xfId="3" applyFont="1" applyBorder="1" applyAlignment="1">
      <alignment horizontal="center" wrapText="1"/>
    </xf>
    <xf numFmtId="49" fontId="7" fillId="0" borderId="14" xfId="3" applyNumberFormat="1" applyFont="1" applyBorder="1" applyAlignment="1">
      <alignment horizontal="center" vertical="center" wrapText="1"/>
    </xf>
    <xf numFmtId="5" fontId="7" fillId="0" borderId="7" xfId="3" applyNumberFormat="1" applyFont="1" applyBorder="1" applyAlignment="1">
      <alignment horizontal="center" vertical="center" wrapText="1"/>
    </xf>
    <xf numFmtId="179" fontId="7" fillId="0" borderId="7" xfId="3" applyNumberFormat="1" applyFont="1" applyBorder="1" applyAlignment="1">
      <alignment horizontal="center" vertical="center" wrapText="1"/>
    </xf>
    <xf numFmtId="6" fontId="7" fillId="0" borderId="7" xfId="3" applyNumberFormat="1" applyFont="1" applyBorder="1" applyAlignment="1">
      <alignment vertical="center" wrapText="1"/>
    </xf>
    <xf numFmtId="176" fontId="7" fillId="0" borderId="7" xfId="1" applyNumberFormat="1" applyFont="1" applyBorder="1" applyAlignment="1">
      <alignment vertical="center" wrapText="1"/>
    </xf>
    <xf numFmtId="0" fontId="2" fillId="0" borderId="7" xfId="3" applyFont="1" applyBorder="1" applyAlignment="1">
      <alignment horizontal="center" vertical="center" wrapText="1"/>
    </xf>
    <xf numFmtId="5" fontId="5" fillId="0" borderId="6" xfId="2" applyNumberFormat="1" applyFont="1" applyBorder="1" applyAlignment="1" applyProtection="1">
      <alignment horizontal="center" vertical="center" wrapText="1"/>
    </xf>
    <xf numFmtId="5" fontId="4" fillId="0" borderId="7" xfId="2" applyNumberFormat="1" applyBorder="1" applyAlignment="1" applyProtection="1">
      <alignment horizontal="center" vertical="center" wrapText="1"/>
    </xf>
    <xf numFmtId="49" fontId="7" fillId="0" borderId="7" xfId="3" applyNumberFormat="1" applyFont="1" applyBorder="1" applyAlignment="1">
      <alignment horizontal="center" vertical="center" wrapText="1"/>
    </xf>
    <xf numFmtId="0" fontId="2" fillId="3" borderId="7" xfId="3" applyFont="1" applyFill="1" applyBorder="1" applyAlignment="1">
      <alignment horizontal="center" vertical="center" wrapText="1"/>
    </xf>
    <xf numFmtId="177" fontId="7" fillId="0" borderId="7" xfId="3" applyNumberFormat="1" applyFont="1" applyBorder="1" applyAlignment="1">
      <alignment horizontal="center" vertical="center" wrapText="1"/>
    </xf>
    <xf numFmtId="177" fontId="7" fillId="0" borderId="11" xfId="3" applyNumberFormat="1" applyFont="1" applyBorder="1" applyAlignment="1">
      <alignment horizontal="center" vertical="center" wrapText="1"/>
    </xf>
    <xf numFmtId="5" fontId="5" fillId="0" borderId="7" xfId="2" applyNumberFormat="1" applyFont="1" applyBorder="1" applyAlignment="1" applyProtection="1">
      <alignment horizontal="center" vertical="center" wrapText="1"/>
    </xf>
  </cellXfs>
  <cellStyles count="4">
    <cellStyle name="一般" xfId="0" builtinId="0"/>
    <cellStyle name="一般 2" xfId="3" xr:uid="{534D21CF-DFDD-4D85-9C2F-64FF63B81C81}"/>
    <cellStyle name="貨幣" xfId="1" builtinId="4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vinljh@gmail.com" TargetMode="External"/><Relationship Id="rId2" Type="http://schemas.openxmlformats.org/officeDocument/2006/relationships/hyperlink" Target="mailto:derrickcheong@huptatheng.com" TargetMode="External"/><Relationship Id="rId1" Type="http://schemas.openxmlformats.org/officeDocument/2006/relationships/hyperlink" Target="mailto:Onlinegarage2@yahoo.com" TargetMode="External"/><Relationship Id="rId5" Type="http://schemas.openxmlformats.org/officeDocument/2006/relationships/hyperlink" Target="mailto:Katelyn.chan00@gmail.com" TargetMode="External"/><Relationship Id="rId4" Type="http://schemas.openxmlformats.org/officeDocument/2006/relationships/hyperlink" Target="mailto:raychan220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ichescg@gmail.com" TargetMode="External"/><Relationship Id="rId7" Type="http://schemas.openxmlformats.org/officeDocument/2006/relationships/hyperlink" Target="mailto:jiwon.ryu327@gmail.com" TargetMode="External"/><Relationship Id="rId2" Type="http://schemas.openxmlformats.org/officeDocument/2006/relationships/hyperlink" Target="mailto:yiu770@gmail.com" TargetMode="External"/><Relationship Id="rId1" Type="http://schemas.openxmlformats.org/officeDocument/2006/relationships/hyperlink" Target="mailto:run870806@gmail.com" TargetMode="External"/><Relationship Id="rId6" Type="http://schemas.openxmlformats.org/officeDocument/2006/relationships/hyperlink" Target="mailto:dlrhkddhrz@naver.com" TargetMode="External"/><Relationship Id="rId5" Type="http://schemas.openxmlformats.org/officeDocument/2006/relationships/hyperlink" Target="mailto:lucky38473847@gmail.com" TargetMode="External"/><Relationship Id="rId4" Type="http://schemas.openxmlformats.org/officeDocument/2006/relationships/hyperlink" Target="mailto:wuxingta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sabelle_shimin@hotmail.com" TargetMode="External"/><Relationship Id="rId3" Type="http://schemas.openxmlformats.org/officeDocument/2006/relationships/hyperlink" Target="mailto:k.oebphakwaen@gmail.com" TargetMode="External"/><Relationship Id="rId7" Type="http://schemas.openxmlformats.org/officeDocument/2006/relationships/hyperlink" Target="mailto:rkdhgl00@naver.com" TargetMode="External"/><Relationship Id="rId2" Type="http://schemas.openxmlformats.org/officeDocument/2006/relationships/hyperlink" Target="mailto:rina.920105@gmail.com" TargetMode="External"/><Relationship Id="rId1" Type="http://schemas.openxmlformats.org/officeDocument/2006/relationships/hyperlink" Target="mailto:kevints.le@gmail.com" TargetMode="External"/><Relationship Id="rId6" Type="http://schemas.openxmlformats.org/officeDocument/2006/relationships/hyperlink" Target="mailto:maihonghue.dt12345@gmail.com" TargetMode="External"/><Relationship Id="rId5" Type="http://schemas.openxmlformats.org/officeDocument/2006/relationships/hyperlink" Target="mailto:jeon000113@naver.com" TargetMode="External"/><Relationship Id="rId10" Type="http://schemas.openxmlformats.org/officeDocument/2006/relationships/hyperlink" Target="mailto:alvin.francisco89@gmail.com" TargetMode="External"/><Relationship Id="rId4" Type="http://schemas.openxmlformats.org/officeDocument/2006/relationships/hyperlink" Target="mailto:sprk9258@naver.com" TargetMode="External"/><Relationship Id="rId9" Type="http://schemas.openxmlformats.org/officeDocument/2006/relationships/hyperlink" Target="mailto:rachelwai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67E8-70E8-4DF2-9D67-F1F4D3B79516}">
  <dimension ref="A1:T32"/>
  <sheetViews>
    <sheetView zoomScale="60" zoomScaleNormal="60" workbookViewId="0">
      <selection activeCell="M25" sqref="M25"/>
    </sheetView>
  </sheetViews>
  <sheetFormatPr defaultColWidth="8.8671875" defaultRowHeight="16"/>
  <cols>
    <col min="1" max="1" width="5.4765625" style="1" bestFit="1" customWidth="1"/>
    <col min="2" max="2" width="8.8671875" style="1" customWidth="1"/>
    <col min="3" max="3" width="43.8671875" style="1" customWidth="1"/>
    <col min="4" max="4" width="8.73828125" style="1" customWidth="1"/>
    <col min="5" max="6" width="12.73828125" style="1" customWidth="1"/>
    <col min="7" max="7" width="11.390625" style="1" customWidth="1"/>
    <col min="8" max="8" width="10.8671875" style="1" customWidth="1"/>
    <col min="9" max="11" width="7.73828125" style="1" customWidth="1"/>
    <col min="12" max="12" width="19" style="1" customWidth="1"/>
    <col min="13" max="13" width="11.4765625" style="3" customWidth="1"/>
    <col min="14" max="14" width="12.12890625" style="1" customWidth="1"/>
    <col min="15" max="15" width="16.2578125" style="1" bestFit="1" customWidth="1"/>
    <col min="16" max="16" width="8.8671875" style="1" customWidth="1"/>
    <col min="17" max="17" width="23.8671875" style="1" customWidth="1"/>
    <col min="18" max="18" width="18.390625" style="2" bestFit="1" customWidth="1"/>
    <col min="19" max="19" width="28.4765625" style="1" customWidth="1"/>
    <col min="20" max="20" width="12.73828125" style="1" bestFit="1" customWidth="1"/>
    <col min="21" max="21" width="8.8671875" style="1" customWidth="1"/>
    <col min="22" max="16384" width="8.8671875" style="1"/>
  </cols>
  <sheetData>
    <row r="1" spans="1:20" ht="28.5" customHeight="1" thickBot="1">
      <c r="A1" s="49" t="s">
        <v>43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8"/>
      <c r="N1" s="46"/>
      <c r="O1" s="46"/>
      <c r="P1" s="46"/>
      <c r="Q1" s="46"/>
      <c r="R1" s="47"/>
      <c r="S1" s="46"/>
      <c r="T1" s="45"/>
    </row>
    <row r="2" spans="1:20" ht="18" customHeight="1">
      <c r="A2" s="44" t="s">
        <v>42</v>
      </c>
      <c r="B2" s="43" t="s">
        <v>41</v>
      </c>
      <c r="C2" s="43" t="s">
        <v>40</v>
      </c>
      <c r="D2" s="35" t="s">
        <v>39</v>
      </c>
      <c r="E2" s="35" t="s">
        <v>38</v>
      </c>
      <c r="F2" s="42" t="s">
        <v>37</v>
      </c>
      <c r="G2" s="35" t="s">
        <v>36</v>
      </c>
      <c r="H2" s="41"/>
      <c r="I2" s="35" t="s">
        <v>35</v>
      </c>
      <c r="J2" s="40" t="s">
        <v>34</v>
      </c>
      <c r="K2" s="39"/>
      <c r="L2" s="38" t="s">
        <v>33</v>
      </c>
      <c r="M2" s="37" t="s">
        <v>32</v>
      </c>
      <c r="N2" s="35" t="s">
        <v>31</v>
      </c>
      <c r="O2" s="35" t="s">
        <v>30</v>
      </c>
      <c r="P2" s="35" t="s">
        <v>29</v>
      </c>
      <c r="Q2" s="35" t="s">
        <v>28</v>
      </c>
      <c r="R2" s="36" t="s">
        <v>27</v>
      </c>
      <c r="S2" s="35" t="s">
        <v>26</v>
      </c>
      <c r="T2" s="34" t="s">
        <v>25</v>
      </c>
    </row>
    <row r="3" spans="1:20" ht="42" customHeight="1">
      <c r="A3" s="33"/>
      <c r="B3" s="24"/>
      <c r="C3" s="24"/>
      <c r="D3" s="24"/>
      <c r="E3" s="24"/>
      <c r="F3" s="24"/>
      <c r="G3" s="32" t="s">
        <v>24</v>
      </c>
      <c r="H3" s="32" t="s">
        <v>23</v>
      </c>
      <c r="I3" s="24"/>
      <c r="J3" s="32" t="s">
        <v>22</v>
      </c>
      <c r="K3" s="32" t="s">
        <v>21</v>
      </c>
      <c r="L3" s="24"/>
      <c r="M3" s="24"/>
      <c r="N3" s="24"/>
      <c r="O3" s="24"/>
      <c r="P3" s="24"/>
      <c r="Q3" s="24"/>
      <c r="R3" s="31"/>
      <c r="S3" s="24"/>
      <c r="T3" s="30"/>
    </row>
    <row r="4" spans="1:20" ht="30" customHeight="1">
      <c r="A4" s="22">
        <v>1</v>
      </c>
      <c r="B4" s="14">
        <v>205</v>
      </c>
      <c r="C4" s="14"/>
      <c r="D4" s="14" t="s">
        <v>49</v>
      </c>
      <c r="E4" s="14" t="s">
        <v>16</v>
      </c>
      <c r="F4" s="14" t="s">
        <v>16</v>
      </c>
      <c r="G4" s="19">
        <v>45620</v>
      </c>
      <c r="H4" s="19">
        <v>45627</v>
      </c>
      <c r="I4" s="14">
        <v>7</v>
      </c>
      <c r="J4" s="14">
        <v>2</v>
      </c>
      <c r="K4" s="14">
        <v>1</v>
      </c>
      <c r="L4" s="14"/>
      <c r="M4" s="16">
        <v>500</v>
      </c>
      <c r="N4" s="16" t="s">
        <v>48</v>
      </c>
      <c r="O4" s="12"/>
      <c r="P4" s="21"/>
      <c r="Q4" s="14" t="s">
        <v>47</v>
      </c>
      <c r="R4" s="13"/>
      <c r="S4" s="20"/>
      <c r="T4" s="11" t="s">
        <v>1</v>
      </c>
    </row>
    <row r="5" spans="1:20" ht="30" customHeight="1">
      <c r="A5" s="22">
        <v>2</v>
      </c>
      <c r="B5" s="14">
        <v>201</v>
      </c>
      <c r="C5" s="14"/>
      <c r="D5" s="14" t="s">
        <v>8</v>
      </c>
      <c r="E5" s="14" t="s">
        <v>46</v>
      </c>
      <c r="F5" s="14" t="s">
        <v>46</v>
      </c>
      <c r="G5" s="19">
        <v>45627</v>
      </c>
      <c r="H5" s="19">
        <v>45628</v>
      </c>
      <c r="I5" s="14">
        <v>1</v>
      </c>
      <c r="J5" s="14">
        <v>2</v>
      </c>
      <c r="K5" s="14">
        <v>0</v>
      </c>
      <c r="L5" s="14"/>
      <c r="M5" s="16">
        <v>2535</v>
      </c>
      <c r="N5" s="16" t="s">
        <v>12</v>
      </c>
      <c r="O5" s="12"/>
      <c r="P5" s="21"/>
      <c r="Q5" s="14" t="s">
        <v>5</v>
      </c>
      <c r="R5" s="13"/>
      <c r="S5" s="20"/>
      <c r="T5" s="11" t="s">
        <v>1</v>
      </c>
    </row>
    <row r="6" spans="1:20" ht="30" customHeight="1">
      <c r="A6" s="22">
        <v>3</v>
      </c>
      <c r="B6" s="14">
        <v>205</v>
      </c>
      <c r="C6" s="14"/>
      <c r="D6" s="14" t="s">
        <v>45</v>
      </c>
      <c r="E6" s="14" t="s">
        <v>3</v>
      </c>
      <c r="F6" s="14" t="s">
        <v>3</v>
      </c>
      <c r="G6" s="19">
        <v>45627</v>
      </c>
      <c r="H6" s="19">
        <v>45631</v>
      </c>
      <c r="I6" s="14">
        <v>4</v>
      </c>
      <c r="J6" s="14">
        <v>3</v>
      </c>
      <c r="K6" s="14">
        <v>2</v>
      </c>
      <c r="L6" s="14"/>
      <c r="M6" s="16" t="s">
        <v>12</v>
      </c>
      <c r="N6" s="16">
        <v>10710</v>
      </c>
      <c r="O6" s="12"/>
      <c r="P6" s="15"/>
      <c r="Q6" s="14" t="s">
        <v>5</v>
      </c>
      <c r="R6" s="13"/>
      <c r="S6" s="28"/>
      <c r="T6" s="11" t="s">
        <v>1</v>
      </c>
    </row>
    <row r="7" spans="1:20" s="23" customFormat="1" ht="30" customHeight="1">
      <c r="A7" s="22">
        <v>4</v>
      </c>
      <c r="B7" s="14">
        <v>203</v>
      </c>
      <c r="C7" s="14"/>
      <c r="D7" s="27" t="s">
        <v>45</v>
      </c>
      <c r="E7" s="27" t="s">
        <v>16</v>
      </c>
      <c r="F7" s="27" t="s">
        <v>16</v>
      </c>
      <c r="G7" s="52">
        <v>45627</v>
      </c>
      <c r="H7" s="52">
        <v>45631</v>
      </c>
      <c r="I7" s="27">
        <v>4</v>
      </c>
      <c r="J7" s="14">
        <v>2</v>
      </c>
      <c r="K7" s="14">
        <v>0</v>
      </c>
      <c r="L7" s="27"/>
      <c r="M7" s="26">
        <v>23085</v>
      </c>
      <c r="N7" s="26" t="s">
        <v>12</v>
      </c>
      <c r="O7" s="51"/>
      <c r="P7" s="21"/>
      <c r="Q7" s="27" t="s">
        <v>44</v>
      </c>
      <c r="R7" s="13"/>
      <c r="S7" s="20"/>
      <c r="T7" s="11" t="s">
        <v>1</v>
      </c>
    </row>
    <row r="8" spans="1:20" ht="30" customHeight="1">
      <c r="A8" s="22">
        <v>5</v>
      </c>
      <c r="B8" s="14">
        <v>303</v>
      </c>
      <c r="C8" s="14"/>
      <c r="D8" s="25"/>
      <c r="E8" s="25"/>
      <c r="F8" s="25"/>
      <c r="G8" s="25"/>
      <c r="H8" s="25"/>
      <c r="I8" s="25"/>
      <c r="J8" s="14">
        <v>2</v>
      </c>
      <c r="K8" s="14">
        <v>0</v>
      </c>
      <c r="L8" s="25"/>
      <c r="M8" s="25"/>
      <c r="N8" s="25"/>
      <c r="O8" s="25"/>
      <c r="P8" s="21"/>
      <c r="Q8" s="25"/>
      <c r="R8" s="13"/>
      <c r="S8" s="20"/>
      <c r="T8" s="11" t="s">
        <v>1</v>
      </c>
    </row>
    <row r="9" spans="1:20" ht="31.5" customHeight="1">
      <c r="A9" s="22">
        <v>6</v>
      </c>
      <c r="B9" s="14">
        <v>403</v>
      </c>
      <c r="C9" s="14"/>
      <c r="D9" s="24"/>
      <c r="E9" s="24"/>
      <c r="F9" s="24"/>
      <c r="G9" s="24"/>
      <c r="H9" s="24"/>
      <c r="I9" s="24"/>
      <c r="J9" s="14">
        <v>2</v>
      </c>
      <c r="K9" s="14">
        <v>0</v>
      </c>
      <c r="L9" s="24"/>
      <c r="M9" s="24"/>
      <c r="N9" s="24"/>
      <c r="O9" s="24"/>
      <c r="P9" s="21"/>
      <c r="Q9" s="24"/>
      <c r="R9" s="13"/>
      <c r="S9" s="20"/>
      <c r="T9" s="11" t="s">
        <v>1</v>
      </c>
    </row>
    <row r="10" spans="1:20" ht="30" customHeight="1">
      <c r="A10" s="22">
        <v>7</v>
      </c>
      <c r="B10" s="14">
        <v>302</v>
      </c>
      <c r="C10" s="14"/>
      <c r="D10" s="14" t="s">
        <v>8</v>
      </c>
      <c r="E10" s="14" t="s">
        <v>3</v>
      </c>
      <c r="F10" s="14" t="s">
        <v>3</v>
      </c>
      <c r="G10" s="19">
        <v>45627</v>
      </c>
      <c r="H10" s="19">
        <v>45628</v>
      </c>
      <c r="I10" s="14">
        <v>1</v>
      </c>
      <c r="J10" s="14">
        <v>1</v>
      </c>
      <c r="K10" s="14">
        <v>0</v>
      </c>
      <c r="L10" s="14"/>
      <c r="M10" s="16">
        <v>1683</v>
      </c>
      <c r="N10" s="16" t="s">
        <v>12</v>
      </c>
      <c r="O10" s="12"/>
      <c r="P10" s="21"/>
      <c r="Q10" s="14" t="s">
        <v>5</v>
      </c>
      <c r="R10" s="13"/>
      <c r="S10" s="20"/>
      <c r="T10" s="11" t="s">
        <v>1</v>
      </c>
    </row>
    <row r="11" spans="1:20" ht="30" customHeight="1">
      <c r="A11" s="22">
        <v>8</v>
      </c>
      <c r="B11" s="14"/>
      <c r="C11" s="14"/>
      <c r="D11" s="14"/>
      <c r="E11" s="14"/>
      <c r="F11" s="17"/>
      <c r="G11" s="14"/>
      <c r="H11" s="14"/>
      <c r="I11" s="14"/>
      <c r="J11" s="14"/>
      <c r="K11" s="14"/>
      <c r="L11" s="14"/>
      <c r="M11" s="16"/>
      <c r="N11" s="14"/>
      <c r="O11" s="12"/>
      <c r="P11" s="21"/>
      <c r="Q11" s="29"/>
      <c r="R11" s="50"/>
      <c r="S11" s="12"/>
      <c r="T11" s="11"/>
    </row>
    <row r="12" spans="1:20" s="23" customFormat="1" ht="30" customHeight="1">
      <c r="A12" s="22">
        <v>9</v>
      </c>
      <c r="B12" s="14"/>
      <c r="C12" s="14"/>
      <c r="D12" s="14"/>
      <c r="E12" s="14"/>
      <c r="F12" s="14"/>
      <c r="G12" s="19"/>
      <c r="H12" s="19"/>
      <c r="I12" s="14"/>
      <c r="J12" s="14"/>
      <c r="K12" s="14"/>
      <c r="L12" s="14"/>
      <c r="M12" s="16"/>
      <c r="N12" s="16"/>
      <c r="O12" s="12"/>
      <c r="P12" s="21"/>
      <c r="Q12" s="14"/>
      <c r="R12" s="13"/>
      <c r="S12" s="12"/>
      <c r="T12" s="11"/>
    </row>
    <row r="13" spans="1:20" ht="30" customHeight="1">
      <c r="A13" s="22">
        <v>10</v>
      </c>
      <c r="B13" s="14"/>
      <c r="C13" s="14"/>
      <c r="D13" s="14"/>
      <c r="E13" s="14"/>
      <c r="F13" s="14"/>
      <c r="G13" s="19"/>
      <c r="H13" s="19"/>
      <c r="I13" s="14"/>
      <c r="J13" s="14"/>
      <c r="K13" s="14"/>
      <c r="L13" s="14"/>
      <c r="M13" s="16"/>
      <c r="N13" s="16"/>
      <c r="O13" s="12"/>
      <c r="P13" s="21"/>
      <c r="Q13" s="14"/>
      <c r="R13" s="13"/>
      <c r="S13" s="12"/>
      <c r="T13" s="11"/>
    </row>
    <row r="14" spans="1:20" ht="30" customHeight="1">
      <c r="A14" s="18">
        <v>11</v>
      </c>
      <c r="B14" s="14"/>
      <c r="C14" s="14"/>
      <c r="D14" s="14"/>
      <c r="E14" s="14"/>
      <c r="F14" s="14"/>
      <c r="G14" s="19"/>
      <c r="H14" s="19"/>
      <c r="I14" s="14"/>
      <c r="J14" s="14"/>
      <c r="K14" s="14"/>
      <c r="L14" s="14"/>
      <c r="M14" s="16"/>
      <c r="N14" s="16"/>
      <c r="O14" s="12"/>
      <c r="P14" s="15"/>
      <c r="Q14" s="14"/>
      <c r="R14" s="13"/>
      <c r="S14" s="12"/>
      <c r="T14" s="11"/>
    </row>
    <row r="15" spans="1:20" ht="30" customHeight="1">
      <c r="A15" s="18">
        <v>12</v>
      </c>
      <c r="B15" s="14"/>
      <c r="C15" s="14"/>
      <c r="D15" s="14"/>
      <c r="E15" s="14"/>
      <c r="F15" s="17"/>
      <c r="G15" s="14"/>
      <c r="H15" s="14"/>
      <c r="I15" s="14"/>
      <c r="J15" s="14"/>
      <c r="K15" s="14"/>
      <c r="L15" s="14"/>
      <c r="M15" s="16"/>
      <c r="N15" s="14"/>
      <c r="O15" s="12"/>
      <c r="P15" s="15"/>
      <c r="Q15" s="14"/>
      <c r="R15" s="13"/>
      <c r="S15" s="12"/>
      <c r="T15" s="11"/>
    </row>
    <row r="16" spans="1:20" ht="30" customHeight="1">
      <c r="A16" s="18">
        <v>13</v>
      </c>
      <c r="B16" s="14"/>
      <c r="C16" s="14"/>
      <c r="D16" s="14"/>
      <c r="E16" s="14"/>
      <c r="F16" s="17"/>
      <c r="G16" s="14"/>
      <c r="H16" s="14"/>
      <c r="I16" s="14"/>
      <c r="J16" s="14"/>
      <c r="K16" s="14"/>
      <c r="L16" s="14"/>
      <c r="M16" s="16"/>
      <c r="N16" s="14"/>
      <c r="O16" s="12"/>
      <c r="P16" s="15"/>
      <c r="Q16" s="14"/>
      <c r="R16" s="13"/>
      <c r="S16" s="12"/>
      <c r="T16" s="11"/>
    </row>
    <row r="17" spans="1:20" ht="30" customHeight="1">
      <c r="A17" s="18">
        <v>14</v>
      </c>
      <c r="B17" s="14"/>
      <c r="C17" s="14"/>
      <c r="D17" s="14"/>
      <c r="E17" s="14"/>
      <c r="F17" s="14"/>
      <c r="G17" s="19"/>
      <c r="H17" s="19"/>
      <c r="I17" s="14"/>
      <c r="J17" s="14"/>
      <c r="K17" s="14"/>
      <c r="L17" s="14"/>
      <c r="M17" s="16"/>
      <c r="N17" s="16"/>
      <c r="O17" s="12"/>
      <c r="P17" s="15"/>
      <c r="Q17" s="14"/>
      <c r="R17" s="13"/>
      <c r="S17" s="12"/>
      <c r="T17" s="11"/>
    </row>
    <row r="18" spans="1:20" ht="30" customHeight="1">
      <c r="A18" s="18">
        <v>15</v>
      </c>
      <c r="B18" s="14"/>
      <c r="C18" s="14"/>
      <c r="D18" s="14"/>
      <c r="E18" s="14"/>
      <c r="F18" s="17"/>
      <c r="G18" s="14"/>
      <c r="H18" s="14"/>
      <c r="I18" s="14"/>
      <c r="J18" s="14"/>
      <c r="K18" s="14"/>
      <c r="L18" s="14"/>
      <c r="M18" s="16"/>
      <c r="N18" s="14"/>
      <c r="O18" s="12"/>
      <c r="P18" s="15"/>
      <c r="Q18" s="14"/>
      <c r="R18" s="13"/>
      <c r="S18" s="12"/>
      <c r="T18" s="11"/>
    </row>
    <row r="19" spans="1:20" ht="30" customHeight="1">
      <c r="A19" s="18">
        <v>16</v>
      </c>
      <c r="B19" s="14"/>
      <c r="C19" s="14"/>
      <c r="D19" s="14"/>
      <c r="E19" s="14"/>
      <c r="F19" s="17"/>
      <c r="G19" s="14"/>
      <c r="H19" s="14"/>
      <c r="I19" s="14"/>
      <c r="J19" s="14"/>
      <c r="K19" s="14"/>
      <c r="L19" s="14"/>
      <c r="M19" s="16"/>
      <c r="N19" s="14"/>
      <c r="O19" s="12"/>
      <c r="P19" s="15"/>
      <c r="Q19" s="14"/>
      <c r="R19" s="13"/>
      <c r="S19" s="12"/>
      <c r="T19" s="11"/>
    </row>
    <row r="20" spans="1:20" ht="30" customHeight="1">
      <c r="A20" s="18">
        <v>17</v>
      </c>
      <c r="B20" s="14"/>
      <c r="C20" s="14"/>
      <c r="D20" s="14"/>
      <c r="E20" s="14"/>
      <c r="F20" s="17"/>
      <c r="G20" s="14"/>
      <c r="H20" s="14"/>
      <c r="I20" s="14"/>
      <c r="J20" s="14"/>
      <c r="K20" s="14"/>
      <c r="L20" s="14"/>
      <c r="M20" s="16"/>
      <c r="N20" s="14"/>
      <c r="O20" s="12"/>
      <c r="P20" s="15"/>
      <c r="Q20" s="14"/>
      <c r="R20" s="13"/>
      <c r="S20" s="12"/>
      <c r="T20" s="11"/>
    </row>
    <row r="21" spans="1:20" ht="30" customHeight="1">
      <c r="A21" s="18">
        <v>18</v>
      </c>
      <c r="B21" s="14"/>
      <c r="C21" s="14"/>
      <c r="D21" s="14"/>
      <c r="E21" s="14"/>
      <c r="F21" s="17"/>
      <c r="G21" s="14"/>
      <c r="H21" s="14"/>
      <c r="I21" s="14"/>
      <c r="J21" s="14"/>
      <c r="K21" s="14"/>
      <c r="L21" s="14"/>
      <c r="M21" s="16"/>
      <c r="N21" s="14"/>
      <c r="O21" s="12"/>
      <c r="P21" s="15"/>
      <c r="Q21" s="14"/>
      <c r="R21" s="13"/>
      <c r="S21" s="12"/>
      <c r="T21" s="11"/>
    </row>
    <row r="22" spans="1:20" ht="30" customHeight="1">
      <c r="A22" s="18">
        <v>19</v>
      </c>
      <c r="B22" s="14"/>
      <c r="C22" s="14"/>
      <c r="D22" s="14"/>
      <c r="E22" s="14"/>
      <c r="F22" s="17"/>
      <c r="G22" s="14"/>
      <c r="H22" s="14"/>
      <c r="I22" s="14"/>
      <c r="J22" s="14"/>
      <c r="K22" s="14"/>
      <c r="L22" s="14"/>
      <c r="M22" s="16"/>
      <c r="N22" s="14"/>
      <c r="O22" s="12"/>
      <c r="P22" s="15"/>
      <c r="Q22" s="14"/>
      <c r="R22" s="13"/>
      <c r="S22" s="12"/>
      <c r="T22" s="11"/>
    </row>
    <row r="23" spans="1:20" ht="30" customHeight="1">
      <c r="A23" s="18">
        <v>20</v>
      </c>
      <c r="B23" s="14"/>
      <c r="C23" s="14"/>
      <c r="D23" s="14"/>
      <c r="E23" s="14"/>
      <c r="F23" s="17"/>
      <c r="G23" s="14"/>
      <c r="H23" s="14"/>
      <c r="I23" s="14"/>
      <c r="J23" s="14"/>
      <c r="K23" s="14"/>
      <c r="L23" s="14"/>
      <c r="M23" s="16"/>
      <c r="N23" s="14"/>
      <c r="O23" s="12"/>
      <c r="P23" s="15"/>
      <c r="Q23" s="14"/>
      <c r="R23" s="13"/>
      <c r="S23" s="12"/>
      <c r="T23" s="11"/>
    </row>
    <row r="24" spans="1:20" ht="30" customHeight="1" thickBot="1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 t="s">
        <v>0</v>
      </c>
      <c r="M24" s="9">
        <f>SUM(M4:M22)</f>
        <v>27803</v>
      </c>
      <c r="N24" s="8"/>
      <c r="O24" s="6"/>
      <c r="P24" s="8"/>
      <c r="Q24" s="8"/>
      <c r="R24" s="7"/>
      <c r="S24" s="6"/>
      <c r="T24" s="5"/>
    </row>
    <row r="25" spans="1:20" ht="30" customHeight="1">
      <c r="T25" s="4"/>
    </row>
    <row r="26" spans="1:20" ht="30" customHeight="1"/>
    <row r="27" spans="1:20" ht="30" customHeight="1"/>
    <row r="28" spans="1:20" ht="30" customHeight="1"/>
    <row r="29" spans="1:20" ht="30" customHeight="1"/>
    <row r="30" spans="1:20" ht="30" customHeight="1"/>
    <row r="31" spans="1:20" ht="30" customHeight="1"/>
    <row r="32" spans="1:20" ht="30" customHeight="1"/>
  </sheetData>
  <mergeCells count="30">
    <mergeCell ref="T2:T3"/>
    <mergeCell ref="L2:L3"/>
    <mergeCell ref="J2:K2"/>
    <mergeCell ref="P2:P3"/>
    <mergeCell ref="Q2:Q3"/>
    <mergeCell ref="A1:T1"/>
    <mergeCell ref="R2:R3"/>
    <mergeCell ref="S2:S3"/>
    <mergeCell ref="A2:A3"/>
    <mergeCell ref="B2:B3"/>
    <mergeCell ref="C2:C3"/>
    <mergeCell ref="D2:D3"/>
    <mergeCell ref="E2:E3"/>
    <mergeCell ref="F2:F3"/>
    <mergeCell ref="G2:H2"/>
    <mergeCell ref="M2:M3"/>
    <mergeCell ref="N2:N3"/>
    <mergeCell ref="O2:O3"/>
    <mergeCell ref="I7:I9"/>
    <mergeCell ref="L7:L9"/>
    <mergeCell ref="M7:M9"/>
    <mergeCell ref="N7:N9"/>
    <mergeCell ref="O7:O9"/>
    <mergeCell ref="I2:I3"/>
    <mergeCell ref="Q7:Q9"/>
    <mergeCell ref="D7:D9"/>
    <mergeCell ref="E7:E9"/>
    <mergeCell ref="F7:F9"/>
    <mergeCell ref="G7:G9"/>
    <mergeCell ref="H7:H9"/>
  </mergeCells>
  <phoneticPr fontId="3" type="noConversion"/>
  <hyperlinks>
    <hyperlink ref="S4" r:id="rId1" display="mailto:Onlinegarage2@yahoo.com" xr:uid="{65C54C9F-DAAD-4BDB-9EE1-CC6974FBA6C0}"/>
    <hyperlink ref="S6" r:id="rId2" display="mailto:derrickcheong@huptatheng.com" xr:uid="{885916DA-070E-46C6-8F88-B828DC8CE997}"/>
    <hyperlink ref="S7" r:id="rId3" display="mailto:Jovinljh@gmail.com" xr:uid="{34FF7A8E-5110-4765-A39E-117E13A5B916}"/>
    <hyperlink ref="S8" r:id="rId4" display="mailto:raychan2202@gmail.com" xr:uid="{30F43E7A-C988-493A-9050-E4A5C4CA37EA}"/>
    <hyperlink ref="S9" r:id="rId5" display="mailto:Katelyn.chan00@gmail.com" xr:uid="{F444AF3C-80C8-4143-95BE-B43E8AF17D03}"/>
  </hyperlinks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1259-D5F5-4A35-B0E1-1A0FE4E0079A}">
  <dimension ref="A1:T32"/>
  <sheetViews>
    <sheetView zoomScale="60" zoomScaleNormal="60" workbookViewId="0">
      <selection activeCell="F7" sqref="F7"/>
    </sheetView>
  </sheetViews>
  <sheetFormatPr defaultColWidth="8.8671875" defaultRowHeight="16"/>
  <cols>
    <col min="1" max="1" width="5.4765625" style="1" bestFit="1" customWidth="1"/>
    <col min="2" max="2" width="8.8671875" style="1" customWidth="1"/>
    <col min="3" max="3" width="23.60546875" style="1" customWidth="1"/>
    <col min="4" max="4" width="8.73828125" style="1" customWidth="1"/>
    <col min="5" max="5" width="11.4765625" style="1" customWidth="1"/>
    <col min="6" max="6" width="11.8671875" style="1" customWidth="1"/>
    <col min="7" max="7" width="10.4765625" style="1" customWidth="1"/>
    <col min="8" max="8" width="9.8671875" style="1" customWidth="1"/>
    <col min="9" max="11" width="8.73828125" style="1" customWidth="1"/>
    <col min="12" max="12" width="18.2578125" style="1" customWidth="1"/>
    <col min="13" max="13" width="11.4765625" style="3" customWidth="1"/>
    <col min="14" max="14" width="12.12890625" style="1" customWidth="1"/>
    <col min="15" max="15" width="16.2578125" style="1" bestFit="1" customWidth="1"/>
    <col min="16" max="16" width="8.8671875" style="1" customWidth="1"/>
    <col min="17" max="17" width="17.4765625" style="1" customWidth="1"/>
    <col min="18" max="18" width="18.390625" style="2" bestFit="1" customWidth="1"/>
    <col min="19" max="19" width="31.2578125" style="1" customWidth="1"/>
    <col min="20" max="20" width="12.73828125" style="1" bestFit="1" customWidth="1"/>
    <col min="21" max="21" width="8.8671875" style="1" customWidth="1"/>
    <col min="22" max="16384" width="8.8671875" style="1"/>
  </cols>
  <sheetData>
    <row r="1" spans="1:20" ht="28.5" customHeight="1" thickBot="1">
      <c r="A1" s="49" t="s">
        <v>43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8"/>
      <c r="N1" s="46"/>
      <c r="O1" s="46"/>
      <c r="P1" s="46"/>
      <c r="Q1" s="46"/>
      <c r="R1" s="47"/>
      <c r="S1" s="46"/>
      <c r="T1" s="45"/>
    </row>
    <row r="2" spans="1:20" ht="18" customHeight="1">
      <c r="A2" s="44" t="s">
        <v>42</v>
      </c>
      <c r="B2" s="43" t="s">
        <v>41</v>
      </c>
      <c r="C2" s="43" t="s">
        <v>40</v>
      </c>
      <c r="D2" s="35" t="s">
        <v>39</v>
      </c>
      <c r="E2" s="35" t="s">
        <v>38</v>
      </c>
      <c r="F2" s="42" t="s">
        <v>37</v>
      </c>
      <c r="G2" s="35" t="s">
        <v>36</v>
      </c>
      <c r="H2" s="41"/>
      <c r="I2" s="35" t="s">
        <v>35</v>
      </c>
      <c r="J2" s="40" t="s">
        <v>34</v>
      </c>
      <c r="K2" s="39"/>
      <c r="L2" s="38" t="s">
        <v>33</v>
      </c>
      <c r="M2" s="37" t="s">
        <v>32</v>
      </c>
      <c r="N2" s="35" t="s">
        <v>31</v>
      </c>
      <c r="O2" s="35" t="s">
        <v>30</v>
      </c>
      <c r="P2" s="35" t="s">
        <v>29</v>
      </c>
      <c r="Q2" s="35" t="s">
        <v>28</v>
      </c>
      <c r="R2" s="36" t="s">
        <v>27</v>
      </c>
      <c r="S2" s="35" t="s">
        <v>26</v>
      </c>
      <c r="T2" s="34" t="s">
        <v>25</v>
      </c>
    </row>
    <row r="3" spans="1:20" ht="42" customHeight="1">
      <c r="A3" s="33"/>
      <c r="B3" s="24"/>
      <c r="C3" s="24"/>
      <c r="D3" s="24"/>
      <c r="E3" s="24"/>
      <c r="F3" s="24"/>
      <c r="G3" s="32" t="s">
        <v>24</v>
      </c>
      <c r="H3" s="32" t="s">
        <v>23</v>
      </c>
      <c r="I3" s="24"/>
      <c r="J3" s="32" t="s">
        <v>22</v>
      </c>
      <c r="K3" s="32" t="s">
        <v>21</v>
      </c>
      <c r="L3" s="24"/>
      <c r="M3" s="24"/>
      <c r="N3" s="24"/>
      <c r="O3" s="24"/>
      <c r="P3" s="24"/>
      <c r="Q3" s="24"/>
      <c r="R3" s="31"/>
      <c r="S3" s="24"/>
      <c r="T3" s="30"/>
    </row>
    <row r="4" spans="1:20" ht="30" customHeight="1">
      <c r="A4" s="22">
        <v>1</v>
      </c>
      <c r="B4" s="14">
        <v>203</v>
      </c>
      <c r="C4" s="14"/>
      <c r="D4" s="14" t="s">
        <v>8</v>
      </c>
      <c r="E4" s="14" t="s">
        <v>16</v>
      </c>
      <c r="F4" s="14" t="s">
        <v>16</v>
      </c>
      <c r="G4" s="19">
        <v>45631</v>
      </c>
      <c r="H4" s="19">
        <v>45632</v>
      </c>
      <c r="I4" s="14">
        <v>1</v>
      </c>
      <c r="J4" s="14">
        <v>2</v>
      </c>
      <c r="K4" s="14">
        <v>0</v>
      </c>
      <c r="L4" s="14"/>
      <c r="M4" s="16">
        <v>2057</v>
      </c>
      <c r="N4" s="16" t="s">
        <v>12</v>
      </c>
      <c r="O4" s="12"/>
      <c r="P4" s="15"/>
      <c r="Q4" s="29" t="s">
        <v>20</v>
      </c>
      <c r="R4" s="13"/>
      <c r="S4" s="20"/>
      <c r="T4" s="11" t="s">
        <v>6</v>
      </c>
    </row>
    <row r="5" spans="1:20" ht="30" customHeight="1">
      <c r="A5" s="22">
        <v>2</v>
      </c>
      <c r="B5" s="14">
        <v>403</v>
      </c>
      <c r="C5" s="14"/>
      <c r="D5" s="14" t="s">
        <v>19</v>
      </c>
      <c r="E5" s="14" t="s">
        <v>18</v>
      </c>
      <c r="F5" s="14" t="s">
        <v>18</v>
      </c>
      <c r="G5" s="19">
        <v>45631</v>
      </c>
      <c r="H5" s="19">
        <v>45633</v>
      </c>
      <c r="I5" s="14">
        <v>2</v>
      </c>
      <c r="J5" s="14">
        <v>1</v>
      </c>
      <c r="K5" s="14">
        <v>0</v>
      </c>
      <c r="L5" s="14"/>
      <c r="M5" s="16">
        <v>5780</v>
      </c>
      <c r="N5" s="16" t="s">
        <v>12</v>
      </c>
      <c r="O5" s="12"/>
      <c r="P5" s="15"/>
      <c r="Q5" s="14" t="s">
        <v>17</v>
      </c>
      <c r="R5" s="13"/>
      <c r="S5" s="20"/>
      <c r="T5" s="11" t="s">
        <v>1</v>
      </c>
    </row>
    <row r="6" spans="1:20" ht="30" customHeight="1">
      <c r="A6" s="22">
        <v>3</v>
      </c>
      <c r="B6" s="14">
        <v>305</v>
      </c>
      <c r="C6" s="14"/>
      <c r="D6" s="14" t="s">
        <v>8</v>
      </c>
      <c r="E6" s="14" t="s">
        <v>16</v>
      </c>
      <c r="F6" s="14" t="s">
        <v>16</v>
      </c>
      <c r="G6" s="19">
        <v>45631</v>
      </c>
      <c r="H6" s="19">
        <v>45634</v>
      </c>
      <c r="I6" s="14">
        <v>3</v>
      </c>
      <c r="J6" s="14">
        <v>2</v>
      </c>
      <c r="K6" s="14">
        <v>0</v>
      </c>
      <c r="L6" s="14"/>
      <c r="M6" s="16">
        <v>12376</v>
      </c>
      <c r="N6" s="16" t="s">
        <v>12</v>
      </c>
      <c r="O6" s="12"/>
      <c r="P6" s="15"/>
      <c r="Q6" s="14" t="s">
        <v>15</v>
      </c>
      <c r="R6" s="13"/>
      <c r="S6" s="20"/>
      <c r="T6" s="11" t="s">
        <v>1</v>
      </c>
    </row>
    <row r="7" spans="1:20" s="23" customFormat="1" ht="30" customHeight="1">
      <c r="A7" s="22">
        <v>4</v>
      </c>
      <c r="B7" s="14">
        <v>202</v>
      </c>
      <c r="C7" s="14"/>
      <c r="D7" s="14" t="s">
        <v>14</v>
      </c>
      <c r="E7" s="14" t="s">
        <v>13</v>
      </c>
      <c r="F7" s="14" t="s">
        <v>13</v>
      </c>
      <c r="G7" s="19">
        <v>45631</v>
      </c>
      <c r="H7" s="19">
        <v>45632</v>
      </c>
      <c r="I7" s="14">
        <v>1</v>
      </c>
      <c r="J7" s="14">
        <v>1</v>
      </c>
      <c r="K7" s="14">
        <v>0</v>
      </c>
      <c r="L7" s="14"/>
      <c r="M7" s="16">
        <v>1870</v>
      </c>
      <c r="N7" s="16" t="s">
        <v>12</v>
      </c>
      <c r="O7" s="12"/>
      <c r="P7" s="21"/>
      <c r="Q7" s="14" t="s">
        <v>11</v>
      </c>
      <c r="R7" s="13"/>
      <c r="S7" s="28"/>
      <c r="T7" s="11" t="s">
        <v>1</v>
      </c>
    </row>
    <row r="8" spans="1:20" ht="30" customHeight="1">
      <c r="A8" s="22">
        <v>5</v>
      </c>
      <c r="B8" s="14">
        <v>405</v>
      </c>
      <c r="C8" s="14"/>
      <c r="D8" s="14" t="s">
        <v>10</v>
      </c>
      <c r="E8" s="14" t="s">
        <v>3</v>
      </c>
      <c r="F8" s="14" t="s">
        <v>3</v>
      </c>
      <c r="G8" s="19">
        <v>45629</v>
      </c>
      <c r="H8" s="19">
        <v>45632</v>
      </c>
      <c r="I8" s="14">
        <v>3</v>
      </c>
      <c r="J8" s="14">
        <v>1</v>
      </c>
      <c r="K8" s="14">
        <v>0</v>
      </c>
      <c r="L8" s="27"/>
      <c r="M8" s="26">
        <f>N8+N9+N10+N11</f>
        <v>11577</v>
      </c>
      <c r="N8" s="16">
        <v>5610</v>
      </c>
      <c r="O8" s="12"/>
      <c r="P8" s="21"/>
      <c r="Q8" s="14" t="s">
        <v>9</v>
      </c>
      <c r="R8" s="13"/>
      <c r="S8" s="20"/>
      <c r="T8" s="11" t="s">
        <v>1</v>
      </c>
    </row>
    <row r="9" spans="1:20" ht="30" customHeight="1">
      <c r="A9" s="22">
        <v>6</v>
      </c>
      <c r="B9" s="14">
        <v>303</v>
      </c>
      <c r="C9" s="14"/>
      <c r="D9" s="14" t="s">
        <v>8</v>
      </c>
      <c r="E9" s="14" t="s">
        <v>3</v>
      </c>
      <c r="F9" s="14" t="s">
        <v>3</v>
      </c>
      <c r="G9" s="19">
        <v>45631</v>
      </c>
      <c r="H9" s="19">
        <v>45632</v>
      </c>
      <c r="I9" s="14">
        <v>1</v>
      </c>
      <c r="J9" s="14">
        <v>2</v>
      </c>
      <c r="K9" s="14">
        <v>0</v>
      </c>
      <c r="L9" s="25"/>
      <c r="M9" s="25"/>
      <c r="N9" s="16">
        <v>1700</v>
      </c>
      <c r="O9" s="12"/>
      <c r="P9" s="15"/>
      <c r="Q9" s="14" t="s">
        <v>7</v>
      </c>
      <c r="R9" s="13"/>
      <c r="S9" s="20"/>
      <c r="T9" s="11" t="s">
        <v>6</v>
      </c>
    </row>
    <row r="10" spans="1:20" ht="30" customHeight="1">
      <c r="A10" s="22">
        <v>7</v>
      </c>
      <c r="B10" s="14">
        <v>201</v>
      </c>
      <c r="C10" s="14"/>
      <c r="D10" s="14" t="s">
        <v>4</v>
      </c>
      <c r="E10" s="14" t="s">
        <v>3</v>
      </c>
      <c r="F10" s="14" t="s">
        <v>3</v>
      </c>
      <c r="G10" s="19">
        <v>45631</v>
      </c>
      <c r="H10" s="19">
        <v>45632</v>
      </c>
      <c r="I10" s="14">
        <v>1</v>
      </c>
      <c r="J10" s="14">
        <v>2</v>
      </c>
      <c r="K10" s="14">
        <v>0</v>
      </c>
      <c r="L10" s="25"/>
      <c r="M10" s="25"/>
      <c r="N10" s="16">
        <v>2142</v>
      </c>
      <c r="O10" s="12"/>
      <c r="P10" s="21"/>
      <c r="Q10" s="14" t="s">
        <v>5</v>
      </c>
      <c r="R10" s="13"/>
      <c r="S10" s="20"/>
      <c r="T10" s="11" t="s">
        <v>1</v>
      </c>
    </row>
    <row r="11" spans="1:20" ht="30" customHeight="1">
      <c r="A11" s="22">
        <v>8</v>
      </c>
      <c r="B11" s="14">
        <v>205</v>
      </c>
      <c r="C11" s="14"/>
      <c r="D11" s="14" t="s">
        <v>4</v>
      </c>
      <c r="E11" s="14" t="s">
        <v>3</v>
      </c>
      <c r="F11" s="14" t="s">
        <v>3</v>
      </c>
      <c r="G11" s="19">
        <v>45631</v>
      </c>
      <c r="H11" s="19">
        <v>45632</v>
      </c>
      <c r="I11" s="14">
        <v>1</v>
      </c>
      <c r="J11" s="14">
        <v>2</v>
      </c>
      <c r="K11" s="14">
        <v>0</v>
      </c>
      <c r="L11" s="24"/>
      <c r="M11" s="24"/>
      <c r="N11" s="16">
        <v>2125</v>
      </c>
      <c r="O11" s="12"/>
      <c r="P11" s="15"/>
      <c r="Q11" s="14" t="s">
        <v>2</v>
      </c>
      <c r="R11" s="13"/>
      <c r="S11" s="20"/>
      <c r="T11" s="11" t="s">
        <v>1</v>
      </c>
    </row>
    <row r="12" spans="1:20" s="23" customFormat="1" ht="30" customHeight="1">
      <c r="A12" s="22">
        <v>9</v>
      </c>
      <c r="B12" s="14"/>
      <c r="C12" s="14"/>
      <c r="D12" s="14"/>
      <c r="E12" s="14"/>
      <c r="F12" s="14"/>
      <c r="G12" s="19"/>
      <c r="H12" s="19"/>
      <c r="I12" s="14"/>
      <c r="J12" s="14"/>
      <c r="K12" s="14"/>
      <c r="L12" s="14"/>
      <c r="M12" s="16"/>
      <c r="N12" s="16"/>
      <c r="O12" s="12"/>
      <c r="P12" s="15"/>
      <c r="Q12" s="14"/>
      <c r="R12" s="13"/>
      <c r="S12" s="20"/>
      <c r="T12" s="11"/>
    </row>
    <row r="13" spans="1:20" ht="30" customHeight="1">
      <c r="A13" s="22">
        <v>10</v>
      </c>
      <c r="B13" s="14"/>
      <c r="C13" s="14"/>
      <c r="D13" s="14"/>
      <c r="E13" s="14"/>
      <c r="F13" s="14"/>
      <c r="G13" s="19"/>
      <c r="H13" s="19"/>
      <c r="I13" s="14"/>
      <c r="J13" s="14"/>
      <c r="K13" s="14"/>
      <c r="L13" s="14"/>
      <c r="M13" s="16"/>
      <c r="N13" s="16"/>
      <c r="O13" s="12"/>
      <c r="P13" s="21"/>
      <c r="Q13" s="14"/>
      <c r="R13" s="13"/>
      <c r="S13" s="12"/>
      <c r="T13" s="11"/>
    </row>
    <row r="14" spans="1:20" ht="30" customHeight="1">
      <c r="A14" s="18">
        <v>11</v>
      </c>
      <c r="B14" s="14"/>
      <c r="C14" s="14"/>
      <c r="D14" s="14"/>
      <c r="E14" s="14"/>
      <c r="F14" s="14"/>
      <c r="G14" s="19"/>
      <c r="H14" s="19"/>
      <c r="I14" s="14"/>
      <c r="J14" s="14"/>
      <c r="K14" s="14"/>
      <c r="L14" s="14"/>
      <c r="M14" s="16"/>
      <c r="N14" s="16"/>
      <c r="O14" s="12"/>
      <c r="P14" s="21"/>
      <c r="Q14" s="14"/>
      <c r="R14" s="13"/>
      <c r="S14" s="12"/>
      <c r="T14" s="11"/>
    </row>
    <row r="15" spans="1:20" ht="30" customHeight="1">
      <c r="A15" s="18">
        <v>12</v>
      </c>
      <c r="B15" s="14"/>
      <c r="C15" s="14"/>
      <c r="D15" s="14"/>
      <c r="E15" s="14"/>
      <c r="F15" s="14"/>
      <c r="G15" s="19"/>
      <c r="H15" s="19"/>
      <c r="I15" s="14"/>
      <c r="J15" s="14"/>
      <c r="K15" s="14"/>
      <c r="L15" s="14"/>
      <c r="M15" s="16"/>
      <c r="N15" s="16"/>
      <c r="O15" s="12"/>
      <c r="P15" s="21"/>
      <c r="Q15" s="14"/>
      <c r="R15" s="13"/>
      <c r="S15" s="12"/>
      <c r="T15" s="11"/>
    </row>
    <row r="16" spans="1:20" ht="30" customHeight="1">
      <c r="A16" s="18">
        <v>13</v>
      </c>
      <c r="B16" s="14"/>
      <c r="C16" s="14"/>
      <c r="D16" s="14"/>
      <c r="E16" s="14"/>
      <c r="F16" s="14"/>
      <c r="G16" s="19"/>
      <c r="H16" s="19"/>
      <c r="I16" s="14"/>
      <c r="J16" s="14"/>
      <c r="K16" s="14"/>
      <c r="L16" s="14"/>
      <c r="M16" s="16"/>
      <c r="N16" s="16"/>
      <c r="O16" s="12"/>
      <c r="P16" s="21"/>
      <c r="Q16" s="14"/>
      <c r="R16" s="13"/>
      <c r="S16" s="12"/>
      <c r="T16" s="11"/>
    </row>
    <row r="17" spans="1:20" ht="30" customHeight="1">
      <c r="A17" s="18">
        <v>14</v>
      </c>
      <c r="B17" s="14"/>
      <c r="C17" s="14"/>
      <c r="D17" s="14"/>
      <c r="E17" s="14"/>
      <c r="F17" s="14"/>
      <c r="G17" s="19"/>
      <c r="H17" s="19"/>
      <c r="I17" s="14"/>
      <c r="J17" s="14"/>
      <c r="K17" s="14"/>
      <c r="L17" s="14"/>
      <c r="M17" s="16"/>
      <c r="N17" s="16"/>
      <c r="O17" s="12"/>
      <c r="P17" s="15"/>
      <c r="Q17" s="14"/>
      <c r="R17" s="13"/>
      <c r="S17" s="20"/>
      <c r="T17" s="11"/>
    </row>
    <row r="18" spans="1:20" ht="30" customHeight="1">
      <c r="A18" s="18">
        <v>15</v>
      </c>
      <c r="B18" s="14"/>
      <c r="C18" s="14"/>
      <c r="D18" s="14"/>
      <c r="E18" s="14"/>
      <c r="F18" s="14"/>
      <c r="G18" s="19"/>
      <c r="H18" s="19"/>
      <c r="I18" s="14"/>
      <c r="J18" s="14"/>
      <c r="K18" s="14"/>
      <c r="L18" s="14"/>
      <c r="M18" s="16"/>
      <c r="N18" s="16"/>
      <c r="O18" s="12"/>
      <c r="P18" s="15"/>
      <c r="Q18" s="14"/>
      <c r="R18" s="13"/>
      <c r="S18" s="12"/>
      <c r="T18" s="11"/>
    </row>
    <row r="19" spans="1:20" ht="30" customHeight="1">
      <c r="A19" s="18">
        <v>16</v>
      </c>
      <c r="B19" s="14"/>
      <c r="C19" s="14"/>
      <c r="D19" s="14"/>
      <c r="E19" s="14"/>
      <c r="F19" s="17"/>
      <c r="G19" s="14"/>
      <c r="H19" s="14"/>
      <c r="I19" s="14"/>
      <c r="J19" s="14"/>
      <c r="K19" s="14"/>
      <c r="L19" s="14"/>
      <c r="M19" s="16"/>
      <c r="N19" s="14"/>
      <c r="O19" s="12"/>
      <c r="P19" s="15"/>
      <c r="Q19" s="14"/>
      <c r="R19" s="13"/>
      <c r="S19" s="12"/>
      <c r="T19" s="11"/>
    </row>
    <row r="20" spans="1:20" ht="30" customHeight="1">
      <c r="A20" s="18">
        <v>17</v>
      </c>
      <c r="B20" s="14"/>
      <c r="C20" s="14"/>
      <c r="D20" s="14"/>
      <c r="E20" s="14"/>
      <c r="F20" s="17"/>
      <c r="G20" s="14"/>
      <c r="H20" s="14"/>
      <c r="I20" s="14"/>
      <c r="J20" s="14"/>
      <c r="K20" s="14"/>
      <c r="L20" s="14"/>
      <c r="M20" s="16"/>
      <c r="N20" s="14"/>
      <c r="O20" s="12"/>
      <c r="P20" s="15"/>
      <c r="Q20" s="14"/>
      <c r="R20" s="13"/>
      <c r="S20" s="12"/>
      <c r="T20" s="11"/>
    </row>
    <row r="21" spans="1:20" ht="30" customHeight="1">
      <c r="A21" s="18">
        <v>18</v>
      </c>
      <c r="B21" s="14"/>
      <c r="C21" s="14"/>
      <c r="D21" s="14"/>
      <c r="E21" s="14"/>
      <c r="F21" s="17"/>
      <c r="G21" s="14"/>
      <c r="H21" s="14"/>
      <c r="I21" s="14"/>
      <c r="J21" s="14"/>
      <c r="K21" s="14"/>
      <c r="L21" s="14"/>
      <c r="M21" s="16"/>
      <c r="N21" s="14"/>
      <c r="O21" s="12"/>
      <c r="P21" s="15"/>
      <c r="Q21" s="14"/>
      <c r="R21" s="13"/>
      <c r="S21" s="12"/>
      <c r="T21" s="11"/>
    </row>
    <row r="22" spans="1:20" ht="30" customHeight="1">
      <c r="A22" s="18">
        <v>19</v>
      </c>
      <c r="B22" s="14"/>
      <c r="C22" s="14"/>
      <c r="D22" s="14"/>
      <c r="E22" s="14"/>
      <c r="F22" s="17"/>
      <c r="G22" s="14"/>
      <c r="H22" s="14"/>
      <c r="I22" s="14"/>
      <c r="J22" s="14"/>
      <c r="K22" s="14"/>
      <c r="L22" s="14"/>
      <c r="M22" s="16"/>
      <c r="N22" s="14"/>
      <c r="O22" s="12"/>
      <c r="P22" s="15"/>
      <c r="Q22" s="14"/>
      <c r="R22" s="13"/>
      <c r="S22" s="12"/>
      <c r="T22" s="11"/>
    </row>
    <row r="23" spans="1:20" ht="30" customHeight="1">
      <c r="A23" s="18">
        <v>20</v>
      </c>
      <c r="B23" s="14"/>
      <c r="C23" s="14"/>
      <c r="D23" s="14"/>
      <c r="E23" s="14"/>
      <c r="F23" s="17"/>
      <c r="G23" s="14"/>
      <c r="H23" s="14"/>
      <c r="I23" s="14"/>
      <c r="J23" s="14"/>
      <c r="K23" s="14"/>
      <c r="L23" s="14"/>
      <c r="M23" s="16"/>
      <c r="N23" s="14"/>
      <c r="O23" s="12"/>
      <c r="P23" s="15"/>
      <c r="Q23" s="14"/>
      <c r="R23" s="13"/>
      <c r="S23" s="12"/>
      <c r="T23" s="11"/>
    </row>
    <row r="24" spans="1:20" ht="30" customHeight="1" thickBot="1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 t="s">
        <v>0</v>
      </c>
      <c r="M24" s="9">
        <f>SUM(M4:M22)</f>
        <v>33660</v>
      </c>
      <c r="N24" s="8"/>
      <c r="O24" s="6"/>
      <c r="P24" s="8"/>
      <c r="Q24" s="8"/>
      <c r="R24" s="7"/>
      <c r="S24" s="6"/>
      <c r="T24" s="5"/>
    </row>
    <row r="25" spans="1:20" ht="30" customHeight="1">
      <c r="T25" s="4"/>
    </row>
    <row r="26" spans="1:20" ht="30" customHeight="1"/>
    <row r="27" spans="1:20" ht="30" customHeight="1"/>
    <row r="28" spans="1:20" ht="30" customHeight="1"/>
    <row r="29" spans="1:20" ht="30" customHeight="1"/>
    <row r="30" spans="1:20" ht="30" customHeight="1"/>
    <row r="31" spans="1:20" ht="30" customHeight="1"/>
    <row r="32" spans="1:20" ht="30" customHeight="1"/>
  </sheetData>
  <mergeCells count="21">
    <mergeCell ref="S2:S3"/>
    <mergeCell ref="I2:I3"/>
    <mergeCell ref="T2:T3"/>
    <mergeCell ref="L2:L3"/>
    <mergeCell ref="Q2:Q3"/>
    <mergeCell ref="M2:M3"/>
    <mergeCell ref="N2:N3"/>
    <mergeCell ref="O2:O3"/>
    <mergeCell ref="J2:K2"/>
    <mergeCell ref="P2:P3"/>
    <mergeCell ref="R2:R3"/>
    <mergeCell ref="M8:M11"/>
    <mergeCell ref="L8:L11"/>
    <mergeCell ref="A1:T1"/>
    <mergeCell ref="A2:A3"/>
    <mergeCell ref="B2:B3"/>
    <mergeCell ref="C2:C3"/>
    <mergeCell ref="D2:D3"/>
    <mergeCell ref="E2:E3"/>
    <mergeCell ref="F2:F3"/>
    <mergeCell ref="G2:H2"/>
  </mergeCells>
  <phoneticPr fontId="3" type="noConversion"/>
  <hyperlinks>
    <hyperlink ref="S4" r:id="rId1" display="mailto:run870806@gmail.com" xr:uid="{45C9D2B6-B45F-4777-97DA-40BF71AC9D55}"/>
    <hyperlink ref="S5" r:id="rId2" display="mailto:yiu770@gmail.com" xr:uid="{DF2F9523-B78E-4593-8B75-BE17B01C9A65}"/>
    <hyperlink ref="S6" r:id="rId3" display="mailto:richescg@gmail.com" xr:uid="{CBF46BAB-C797-4B15-84DB-0FF9F89D9928}"/>
    <hyperlink ref="S7" r:id="rId4" display="mailto:wuxingta@gmail.com" xr:uid="{2C369BCB-E773-44D9-9785-FD40D30081D4}"/>
    <hyperlink ref="S9" r:id="rId5" display="mailto:lucky38473847@gmail.com" xr:uid="{F49DA6A4-AE85-4E9B-B436-4783DA45C2B1}"/>
    <hyperlink ref="S10" r:id="rId6" display="mailto:dlrhkddhrz@naver.com" xr:uid="{818C4480-D588-44FC-A3E3-7AD6E24414FF}"/>
    <hyperlink ref="S11" r:id="rId7" display="mailto:jiwon.ryu327@gmail.com" xr:uid="{E8DB9F87-E5D5-461F-821A-C53902F6E4DD}"/>
  </hyperlinks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FE63-DCCB-45EA-98CD-EAE6E2AD1F44}">
  <dimension ref="A1:T32"/>
  <sheetViews>
    <sheetView tabSelected="1" topLeftCell="A4" zoomScale="60" zoomScaleNormal="60" workbookViewId="0">
      <selection activeCell="S15" sqref="S15"/>
    </sheetView>
  </sheetViews>
  <sheetFormatPr defaultColWidth="8.8671875" defaultRowHeight="16"/>
  <cols>
    <col min="1" max="1" width="5.4765625" style="1" bestFit="1" customWidth="1"/>
    <col min="2" max="2" width="8.8671875" style="1" customWidth="1"/>
    <col min="3" max="3" width="28.4765625" style="1" customWidth="1"/>
    <col min="4" max="4" width="9.12890625" style="1" customWidth="1"/>
    <col min="5" max="5" width="14" style="1" customWidth="1"/>
    <col min="6" max="6" width="13.4765625" style="1" customWidth="1"/>
    <col min="7" max="7" width="10.73828125" style="1" customWidth="1"/>
    <col min="8" max="8" width="11.8671875" style="1" customWidth="1"/>
    <col min="9" max="11" width="8.73828125" style="1" customWidth="1"/>
    <col min="12" max="12" width="33" style="1" customWidth="1"/>
    <col min="13" max="13" width="11.4765625" style="3" customWidth="1"/>
    <col min="14" max="14" width="12.12890625" style="1" customWidth="1"/>
    <col min="15" max="15" width="23.73828125" style="1" customWidth="1"/>
    <col min="16" max="16" width="10.12890625" style="1" customWidth="1"/>
    <col min="17" max="17" width="30" style="1" customWidth="1"/>
    <col min="18" max="18" width="25.4765625" style="2" customWidth="1"/>
    <col min="19" max="19" width="42.2578125" style="1" customWidth="1"/>
    <col min="20" max="20" width="14.2578125" style="1" customWidth="1"/>
    <col min="21" max="21" width="8.8671875" style="1" customWidth="1"/>
    <col min="22" max="16384" width="8.8671875" style="1"/>
  </cols>
  <sheetData>
    <row r="1" spans="1:20" ht="29.45" customHeight="1" thickBot="1">
      <c r="A1" s="49" t="s">
        <v>43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8"/>
      <c r="N1" s="46"/>
      <c r="O1" s="46"/>
      <c r="P1" s="46"/>
      <c r="Q1" s="46"/>
      <c r="R1" s="47"/>
      <c r="S1" s="46"/>
      <c r="T1" s="45"/>
    </row>
    <row r="2" spans="1:20" ht="18" customHeight="1">
      <c r="A2" s="44" t="s">
        <v>42</v>
      </c>
      <c r="B2" s="43" t="s">
        <v>41</v>
      </c>
      <c r="C2" s="43" t="s">
        <v>40</v>
      </c>
      <c r="D2" s="35" t="s">
        <v>39</v>
      </c>
      <c r="E2" s="35" t="s">
        <v>38</v>
      </c>
      <c r="F2" s="42" t="s">
        <v>37</v>
      </c>
      <c r="G2" s="35" t="s">
        <v>36</v>
      </c>
      <c r="H2" s="41"/>
      <c r="I2" s="35" t="s">
        <v>35</v>
      </c>
      <c r="J2" s="40" t="s">
        <v>34</v>
      </c>
      <c r="K2" s="39"/>
      <c r="L2" s="38" t="s">
        <v>33</v>
      </c>
      <c r="M2" s="37" t="s">
        <v>32</v>
      </c>
      <c r="N2" s="35" t="s">
        <v>31</v>
      </c>
      <c r="O2" s="35" t="s">
        <v>30</v>
      </c>
      <c r="P2" s="35" t="s">
        <v>29</v>
      </c>
      <c r="Q2" s="35" t="s">
        <v>28</v>
      </c>
      <c r="R2" s="36" t="s">
        <v>27</v>
      </c>
      <c r="S2" s="35" t="s">
        <v>26</v>
      </c>
      <c r="T2" s="34" t="s">
        <v>25</v>
      </c>
    </row>
    <row r="3" spans="1:20" ht="42" customHeight="1">
      <c r="A3" s="33"/>
      <c r="B3" s="24"/>
      <c r="C3" s="24"/>
      <c r="D3" s="24"/>
      <c r="E3" s="24"/>
      <c r="F3" s="24"/>
      <c r="G3" s="32" t="s">
        <v>24</v>
      </c>
      <c r="H3" s="32" t="s">
        <v>23</v>
      </c>
      <c r="I3" s="24"/>
      <c r="J3" s="32" t="s">
        <v>22</v>
      </c>
      <c r="K3" s="32" t="s">
        <v>21</v>
      </c>
      <c r="L3" s="24"/>
      <c r="M3" s="24"/>
      <c r="N3" s="24"/>
      <c r="O3" s="24"/>
      <c r="P3" s="24"/>
      <c r="Q3" s="24"/>
      <c r="R3" s="31"/>
      <c r="S3" s="24"/>
      <c r="T3" s="30"/>
    </row>
    <row r="4" spans="1:20" ht="30" customHeight="1">
      <c r="A4" s="22">
        <v>1</v>
      </c>
      <c r="B4" s="27">
        <v>301</v>
      </c>
      <c r="C4" s="27"/>
      <c r="D4" s="27" t="s">
        <v>4</v>
      </c>
      <c r="E4" s="27" t="s">
        <v>61</v>
      </c>
      <c r="F4" s="27" t="s">
        <v>61</v>
      </c>
      <c r="G4" s="52">
        <v>45657</v>
      </c>
      <c r="H4" s="52">
        <v>45292</v>
      </c>
      <c r="I4" s="27">
        <v>1</v>
      </c>
      <c r="J4" s="27">
        <v>2</v>
      </c>
      <c r="K4" s="27">
        <v>0</v>
      </c>
      <c r="L4" s="59"/>
      <c r="M4" s="16">
        <v>5001</v>
      </c>
      <c r="N4" s="16" t="s">
        <v>12</v>
      </c>
      <c r="O4" s="12"/>
      <c r="P4" s="15"/>
      <c r="Q4" s="27" t="s">
        <v>63</v>
      </c>
      <c r="R4" s="58"/>
      <c r="S4" s="62"/>
      <c r="T4" s="56" t="s">
        <v>1</v>
      </c>
    </row>
    <row r="5" spans="1:20" ht="130.15" customHeight="1">
      <c r="A5" s="22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55"/>
      <c r="M5" s="16" t="s">
        <v>12</v>
      </c>
      <c r="N5" s="16">
        <v>5000</v>
      </c>
      <c r="O5" s="12"/>
      <c r="P5" s="61"/>
      <c r="Q5" s="24"/>
      <c r="R5" s="24"/>
      <c r="S5" s="24"/>
      <c r="T5" s="30"/>
    </row>
    <row r="6" spans="1:20" s="23" customFormat="1" ht="30" customHeight="1">
      <c r="A6" s="22">
        <v>3</v>
      </c>
      <c r="B6" s="14">
        <v>403</v>
      </c>
      <c r="C6" s="14"/>
      <c r="D6" s="14" t="s">
        <v>62</v>
      </c>
      <c r="E6" s="14" t="s">
        <v>61</v>
      </c>
      <c r="F6" s="14" t="s">
        <v>61</v>
      </c>
      <c r="G6" s="19">
        <v>45657</v>
      </c>
      <c r="H6" s="19">
        <v>45294</v>
      </c>
      <c r="I6" s="14">
        <v>3</v>
      </c>
      <c r="J6" s="14">
        <v>2</v>
      </c>
      <c r="K6" s="14">
        <v>0</v>
      </c>
      <c r="L6" s="14"/>
      <c r="M6" s="16">
        <v>15084</v>
      </c>
      <c r="N6" s="16" t="s">
        <v>12</v>
      </c>
      <c r="O6" s="12"/>
      <c r="P6" s="15"/>
      <c r="Q6" s="14" t="s">
        <v>58</v>
      </c>
      <c r="R6" s="13"/>
      <c r="S6" s="20"/>
      <c r="T6" s="11" t="s">
        <v>1</v>
      </c>
    </row>
    <row r="7" spans="1:20" ht="30" customHeight="1">
      <c r="A7" s="22">
        <v>4</v>
      </c>
      <c r="B7" s="14">
        <v>402</v>
      </c>
      <c r="C7" s="14"/>
      <c r="D7" s="14" t="s">
        <v>8</v>
      </c>
      <c r="E7" s="14" t="s">
        <v>60</v>
      </c>
      <c r="F7" s="14" t="s">
        <v>60</v>
      </c>
      <c r="G7" s="19">
        <v>45657</v>
      </c>
      <c r="H7" s="19">
        <v>45292</v>
      </c>
      <c r="I7" s="14">
        <v>1</v>
      </c>
      <c r="J7" s="14">
        <v>2</v>
      </c>
      <c r="K7" s="14">
        <v>0</v>
      </c>
      <c r="L7" s="14"/>
      <c r="M7" s="16">
        <v>8000</v>
      </c>
      <c r="N7" s="16" t="s">
        <v>12</v>
      </c>
      <c r="O7" s="12"/>
      <c r="P7" s="15"/>
      <c r="Q7" s="14" t="s">
        <v>58</v>
      </c>
      <c r="R7" s="13"/>
      <c r="S7" s="20"/>
      <c r="T7" s="11" t="s">
        <v>1</v>
      </c>
    </row>
    <row r="8" spans="1:20" ht="30" customHeight="1">
      <c r="A8" s="22">
        <v>5</v>
      </c>
      <c r="B8" s="14">
        <v>305</v>
      </c>
      <c r="C8" s="14"/>
      <c r="D8" s="14" t="s">
        <v>59</v>
      </c>
      <c r="E8" s="14" t="s">
        <v>18</v>
      </c>
      <c r="F8" s="14" t="s">
        <v>18</v>
      </c>
      <c r="G8" s="19">
        <v>45657</v>
      </c>
      <c r="H8" s="19">
        <v>45292</v>
      </c>
      <c r="I8" s="14">
        <v>1</v>
      </c>
      <c r="J8" s="14">
        <v>2</v>
      </c>
      <c r="K8" s="14">
        <v>0</v>
      </c>
      <c r="L8" s="14"/>
      <c r="M8" s="16">
        <v>5000</v>
      </c>
      <c r="N8" s="16" t="s">
        <v>12</v>
      </c>
      <c r="O8" s="12"/>
      <c r="P8" s="21"/>
      <c r="Q8" s="14" t="s">
        <v>58</v>
      </c>
      <c r="R8" s="13"/>
      <c r="S8" s="20"/>
      <c r="T8" s="11" t="s">
        <v>1</v>
      </c>
    </row>
    <row r="9" spans="1:20" ht="30" customHeight="1">
      <c r="A9" s="22">
        <v>6</v>
      </c>
      <c r="B9" s="14">
        <v>202</v>
      </c>
      <c r="C9" s="14"/>
      <c r="D9" s="27" t="s">
        <v>4</v>
      </c>
      <c r="E9" s="27" t="s">
        <v>18</v>
      </c>
      <c r="F9" s="27" t="s">
        <v>18</v>
      </c>
      <c r="G9" s="52">
        <v>45657</v>
      </c>
      <c r="H9" s="52">
        <v>45293</v>
      </c>
      <c r="I9" s="27">
        <v>3</v>
      </c>
      <c r="J9" s="14">
        <v>2</v>
      </c>
      <c r="K9" s="14">
        <v>0</v>
      </c>
      <c r="L9" s="27"/>
      <c r="M9" s="16">
        <v>13400</v>
      </c>
      <c r="N9" s="26" t="s">
        <v>12</v>
      </c>
      <c r="O9" s="51"/>
      <c r="P9" s="60"/>
      <c r="Q9" s="27" t="s">
        <v>58</v>
      </c>
      <c r="R9" s="50"/>
      <c r="S9" s="20"/>
      <c r="T9" s="11" t="s">
        <v>1</v>
      </c>
    </row>
    <row r="10" spans="1:20" ht="30" customHeight="1">
      <c r="A10" s="22">
        <v>7</v>
      </c>
      <c r="B10" s="14">
        <v>203</v>
      </c>
      <c r="C10" s="14"/>
      <c r="D10" s="24"/>
      <c r="E10" s="24"/>
      <c r="F10" s="24"/>
      <c r="G10" s="24"/>
      <c r="H10" s="24"/>
      <c r="I10" s="24"/>
      <c r="J10" s="14">
        <v>2</v>
      </c>
      <c r="K10" s="14">
        <v>0</v>
      </c>
      <c r="L10" s="24"/>
      <c r="M10" s="16">
        <v>13400</v>
      </c>
      <c r="N10" s="24"/>
      <c r="O10" s="24"/>
      <c r="P10" s="24"/>
      <c r="Q10" s="24"/>
      <c r="R10" s="13"/>
      <c r="S10" s="20"/>
      <c r="T10" s="11" t="s">
        <v>1</v>
      </c>
    </row>
    <row r="11" spans="1:20" ht="30" customHeight="1">
      <c r="A11" s="22">
        <v>8</v>
      </c>
      <c r="B11" s="14">
        <v>302</v>
      </c>
      <c r="C11" s="14"/>
      <c r="D11" s="14" t="s">
        <v>57</v>
      </c>
      <c r="E11" s="14" t="s">
        <v>18</v>
      </c>
      <c r="F11" s="14" t="s">
        <v>18</v>
      </c>
      <c r="G11" s="19">
        <v>45657</v>
      </c>
      <c r="H11" s="19">
        <v>45292</v>
      </c>
      <c r="I11" s="14">
        <v>1</v>
      </c>
      <c r="J11" s="14">
        <v>2</v>
      </c>
      <c r="K11" s="14">
        <v>0</v>
      </c>
      <c r="L11" s="14"/>
      <c r="M11" s="16">
        <v>8000</v>
      </c>
      <c r="N11" s="16" t="s">
        <v>12</v>
      </c>
      <c r="O11" s="12"/>
      <c r="P11" s="21"/>
      <c r="Q11" s="14" t="s">
        <v>15</v>
      </c>
      <c r="R11" s="13"/>
      <c r="S11" s="20"/>
      <c r="T11" s="11" t="s">
        <v>1</v>
      </c>
    </row>
    <row r="12" spans="1:20" ht="30" customHeight="1">
      <c r="A12" s="22">
        <v>9</v>
      </c>
      <c r="B12" s="27">
        <v>201</v>
      </c>
      <c r="C12" s="27"/>
      <c r="D12" s="27" t="s">
        <v>4</v>
      </c>
      <c r="E12" s="27" t="s">
        <v>56</v>
      </c>
      <c r="F12" s="27" t="s">
        <v>55</v>
      </c>
      <c r="G12" s="52">
        <v>45657</v>
      </c>
      <c r="H12" s="52">
        <v>45292</v>
      </c>
      <c r="I12" s="27">
        <v>1</v>
      </c>
      <c r="J12" s="27">
        <v>2</v>
      </c>
      <c r="K12" s="27">
        <v>0</v>
      </c>
      <c r="L12" s="59"/>
      <c r="M12" s="16">
        <v>5000</v>
      </c>
      <c r="N12" s="16" t="s">
        <v>12</v>
      </c>
      <c r="O12" s="12"/>
      <c r="P12" s="15"/>
      <c r="Q12" s="27" t="s">
        <v>54</v>
      </c>
      <c r="R12" s="58"/>
      <c r="S12" s="57"/>
      <c r="T12" s="56" t="s">
        <v>1</v>
      </c>
    </row>
    <row r="13" spans="1:20" ht="130.15" customHeight="1">
      <c r="A13" s="18">
        <v>10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55"/>
      <c r="M13" s="16">
        <v>5000</v>
      </c>
      <c r="N13" s="16" t="s">
        <v>12</v>
      </c>
      <c r="O13" s="12"/>
      <c r="P13" s="15"/>
      <c r="Q13" s="24"/>
      <c r="R13" s="24"/>
      <c r="S13" s="24"/>
      <c r="T13" s="30"/>
    </row>
    <row r="14" spans="1:20" ht="30" customHeight="1">
      <c r="A14" s="18">
        <v>11</v>
      </c>
      <c r="B14" s="14">
        <v>502</v>
      </c>
      <c r="C14" s="14"/>
      <c r="D14" s="14" t="s">
        <v>45</v>
      </c>
      <c r="E14" s="14" t="s">
        <v>3</v>
      </c>
      <c r="F14" s="14" t="s">
        <v>3</v>
      </c>
      <c r="G14" s="19">
        <v>45657</v>
      </c>
      <c r="H14" s="19">
        <v>45295</v>
      </c>
      <c r="I14" s="14">
        <v>4</v>
      </c>
      <c r="J14" s="14">
        <v>2</v>
      </c>
      <c r="K14" s="14">
        <v>0</v>
      </c>
      <c r="L14" s="14"/>
      <c r="M14" s="16" t="s">
        <v>12</v>
      </c>
      <c r="N14" s="16">
        <v>18390</v>
      </c>
      <c r="O14" s="12"/>
      <c r="P14" s="15"/>
      <c r="Q14" s="14" t="s">
        <v>53</v>
      </c>
      <c r="R14" s="13"/>
      <c r="S14" s="20"/>
      <c r="T14" s="11" t="s">
        <v>1</v>
      </c>
    </row>
    <row r="15" spans="1:20" ht="30" customHeight="1">
      <c r="A15" s="18">
        <v>12</v>
      </c>
      <c r="B15" s="14">
        <v>205</v>
      </c>
      <c r="C15" s="14"/>
      <c r="D15" s="14" t="s">
        <v>45</v>
      </c>
      <c r="E15" s="14" t="s">
        <v>3</v>
      </c>
      <c r="F15" s="14" t="s">
        <v>3</v>
      </c>
      <c r="G15" s="19">
        <v>45656</v>
      </c>
      <c r="H15" s="19">
        <v>45292</v>
      </c>
      <c r="I15" s="14">
        <v>2</v>
      </c>
      <c r="J15" s="14">
        <v>4</v>
      </c>
      <c r="K15" s="14">
        <v>0</v>
      </c>
      <c r="L15" s="27"/>
      <c r="M15" s="26">
        <f>N15+N16</f>
        <v>41840</v>
      </c>
      <c r="N15" s="54">
        <v>18190</v>
      </c>
      <c r="O15" s="12"/>
      <c r="P15" s="21"/>
      <c r="Q15" s="14" t="s">
        <v>52</v>
      </c>
      <c r="R15" s="13"/>
      <c r="S15" s="28"/>
      <c r="T15" s="11" t="s">
        <v>1</v>
      </c>
    </row>
    <row r="16" spans="1:20" ht="30" customHeight="1">
      <c r="A16" s="18">
        <v>13</v>
      </c>
      <c r="B16" s="14">
        <v>401</v>
      </c>
      <c r="C16" s="14"/>
      <c r="D16" s="14" t="s">
        <v>51</v>
      </c>
      <c r="E16" s="14" t="s">
        <v>3</v>
      </c>
      <c r="F16" s="14" t="s">
        <v>3</v>
      </c>
      <c r="G16" s="19">
        <v>45655</v>
      </c>
      <c r="H16" s="19">
        <v>45292</v>
      </c>
      <c r="I16" s="14">
        <v>3</v>
      </c>
      <c r="J16" s="14">
        <v>2</v>
      </c>
      <c r="K16" s="14">
        <v>0</v>
      </c>
      <c r="L16" s="24"/>
      <c r="M16" s="24"/>
      <c r="N16" s="53">
        <v>23650</v>
      </c>
      <c r="O16" s="12"/>
      <c r="P16" s="15"/>
      <c r="Q16" s="14" t="s">
        <v>50</v>
      </c>
      <c r="R16" s="13"/>
      <c r="S16" s="20"/>
      <c r="T16" s="11" t="s">
        <v>1</v>
      </c>
    </row>
    <row r="17" spans="1:20" ht="30" customHeight="1">
      <c r="A17" s="18">
        <v>14</v>
      </c>
      <c r="B17" s="14"/>
      <c r="C17" s="14"/>
      <c r="D17" s="14"/>
      <c r="E17" s="14"/>
      <c r="F17" s="14"/>
      <c r="G17" s="19"/>
      <c r="H17" s="19"/>
      <c r="I17" s="14"/>
      <c r="J17" s="14"/>
      <c r="K17" s="14"/>
      <c r="L17" s="14"/>
      <c r="M17" s="16"/>
      <c r="N17" s="16"/>
      <c r="O17" s="12"/>
      <c r="P17" s="15"/>
      <c r="Q17" s="14"/>
      <c r="R17" s="13"/>
      <c r="S17" s="12"/>
      <c r="T17" s="11"/>
    </row>
    <row r="18" spans="1:20" ht="30" customHeight="1">
      <c r="A18" s="18">
        <v>15</v>
      </c>
      <c r="B18" s="14"/>
      <c r="C18" s="14"/>
      <c r="D18" s="14"/>
      <c r="E18" s="14"/>
      <c r="F18" s="17"/>
      <c r="G18" s="14"/>
      <c r="H18" s="14"/>
      <c r="I18" s="14"/>
      <c r="J18" s="14"/>
      <c r="K18" s="14"/>
      <c r="L18" s="14"/>
      <c r="M18" s="16"/>
      <c r="N18" s="14"/>
      <c r="O18" s="12"/>
      <c r="P18" s="15"/>
      <c r="Q18" s="14"/>
      <c r="R18" s="13"/>
      <c r="S18" s="13"/>
      <c r="T18" s="11"/>
    </row>
    <row r="19" spans="1:20" ht="30" customHeight="1">
      <c r="A19" s="18">
        <v>16</v>
      </c>
      <c r="B19" s="14"/>
      <c r="C19" s="14"/>
      <c r="D19" s="14"/>
      <c r="E19" s="14"/>
      <c r="F19" s="17"/>
      <c r="G19" s="14"/>
      <c r="H19" s="14"/>
      <c r="I19" s="14"/>
      <c r="J19" s="14"/>
      <c r="K19" s="14"/>
      <c r="L19" s="14"/>
      <c r="M19" s="16"/>
      <c r="N19" s="14"/>
      <c r="O19" s="12"/>
      <c r="P19" s="15"/>
      <c r="Q19" s="14"/>
      <c r="R19" s="13"/>
      <c r="S19" s="13"/>
      <c r="T19" s="11"/>
    </row>
    <row r="20" spans="1:20" ht="30" customHeight="1">
      <c r="A20" s="18">
        <v>17</v>
      </c>
      <c r="B20" s="14"/>
      <c r="C20" s="14"/>
      <c r="D20" s="14"/>
      <c r="E20" s="14"/>
      <c r="F20" s="17"/>
      <c r="G20" s="14"/>
      <c r="H20" s="14"/>
      <c r="I20" s="14"/>
      <c r="J20" s="14"/>
      <c r="K20" s="14"/>
      <c r="L20" s="14"/>
      <c r="M20" s="16"/>
      <c r="N20" s="14"/>
      <c r="O20" s="12"/>
      <c r="P20" s="15"/>
      <c r="Q20" s="14"/>
      <c r="R20" s="13"/>
      <c r="S20" s="12"/>
      <c r="T20" s="11"/>
    </row>
    <row r="21" spans="1:20" ht="30" customHeight="1">
      <c r="A21" s="18">
        <v>18</v>
      </c>
      <c r="B21" s="14"/>
      <c r="C21" s="14"/>
      <c r="D21" s="14"/>
      <c r="E21" s="14"/>
      <c r="F21" s="17"/>
      <c r="G21" s="14"/>
      <c r="H21" s="14"/>
      <c r="I21" s="14"/>
      <c r="J21" s="14"/>
      <c r="K21" s="14"/>
      <c r="L21" s="14"/>
      <c r="M21" s="16"/>
      <c r="N21" s="14"/>
      <c r="O21" s="12"/>
      <c r="P21" s="15"/>
      <c r="Q21" s="13"/>
      <c r="R21" s="13"/>
      <c r="S21" s="12"/>
      <c r="T21" s="11"/>
    </row>
    <row r="22" spans="1:20" ht="30" customHeight="1">
      <c r="A22" s="18">
        <v>19</v>
      </c>
      <c r="B22" s="14"/>
      <c r="C22" s="14"/>
      <c r="D22" s="14"/>
      <c r="E22" s="14"/>
      <c r="F22" s="17"/>
      <c r="G22" s="14"/>
      <c r="H22" s="14"/>
      <c r="I22" s="14"/>
      <c r="J22" s="14"/>
      <c r="K22" s="14"/>
      <c r="L22" s="14"/>
      <c r="M22" s="16"/>
      <c r="N22" s="14"/>
      <c r="O22" s="12"/>
      <c r="P22" s="15"/>
      <c r="Q22" s="13"/>
      <c r="R22" s="13"/>
      <c r="S22" s="12"/>
      <c r="T22" s="11"/>
    </row>
    <row r="23" spans="1:20" ht="30" customHeight="1">
      <c r="A23" s="18">
        <v>20</v>
      </c>
      <c r="B23" s="14"/>
      <c r="C23" s="14"/>
      <c r="D23" s="14"/>
      <c r="E23" s="14"/>
      <c r="F23" s="17"/>
      <c r="G23" s="14"/>
      <c r="H23" s="14"/>
      <c r="I23" s="14"/>
      <c r="J23" s="14"/>
      <c r="K23" s="14"/>
      <c r="L23" s="14"/>
      <c r="M23" s="16"/>
      <c r="N23" s="14"/>
      <c r="O23" s="12"/>
      <c r="P23" s="15"/>
      <c r="Q23" s="14"/>
      <c r="R23" s="13"/>
      <c r="S23" s="12"/>
      <c r="T23" s="11"/>
    </row>
    <row r="24" spans="1:20" ht="30" customHeight="1" thickBot="1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 t="s">
        <v>0</v>
      </c>
      <c r="M24" s="9">
        <f>SUM(M4:M22)</f>
        <v>119725</v>
      </c>
      <c r="N24" s="8"/>
      <c r="O24" s="6"/>
      <c r="P24" s="8"/>
      <c r="Q24" s="8"/>
      <c r="R24" s="7"/>
      <c r="S24" s="6"/>
      <c r="T24" s="5"/>
    </row>
    <row r="25" spans="1:20" ht="30" customHeight="1">
      <c r="T25" s="4"/>
    </row>
    <row r="26" spans="1:20" ht="30" customHeight="1"/>
    <row r="27" spans="1:20" ht="30" customHeight="1"/>
    <row r="28" spans="1:20" ht="30" customHeight="1"/>
    <row r="29" spans="1:20" ht="30" customHeight="1"/>
    <row r="30" spans="1:20" ht="30" customHeight="1"/>
    <row r="31" spans="1:20" ht="30" customHeight="1"/>
    <row r="32" spans="1:20" ht="30" customHeight="1"/>
  </sheetData>
  <mergeCells count="60">
    <mergeCell ref="Q12:Q13"/>
    <mergeCell ref="R12:R13"/>
    <mergeCell ref="Q9:Q10"/>
    <mergeCell ref="P9:P10"/>
    <mergeCell ref="I9:I10"/>
    <mergeCell ref="S12:S13"/>
    <mergeCell ref="T12:T13"/>
    <mergeCell ref="B12:B13"/>
    <mergeCell ref="C12:C13"/>
    <mergeCell ref="D12:D13"/>
    <mergeCell ref="E12:E13"/>
    <mergeCell ref="F12:F13"/>
    <mergeCell ref="R4:R5"/>
    <mergeCell ref="G12:G13"/>
    <mergeCell ref="H12:H13"/>
    <mergeCell ref="I12:I13"/>
    <mergeCell ref="J12:J13"/>
    <mergeCell ref="K12:K13"/>
    <mergeCell ref="Q4:Q5"/>
    <mergeCell ref="G4:G5"/>
    <mergeCell ref="H4:H5"/>
    <mergeCell ref="I4:I5"/>
    <mergeCell ref="Q2:Q3"/>
    <mergeCell ref="B4:B5"/>
    <mergeCell ref="C4:C5"/>
    <mergeCell ref="D4:D5"/>
    <mergeCell ref="E4:E5"/>
    <mergeCell ref="F4:F5"/>
    <mergeCell ref="J4:J5"/>
    <mergeCell ref="K4:K5"/>
    <mergeCell ref="G2:H2"/>
    <mergeCell ref="I2:I3"/>
    <mergeCell ref="T2:T3"/>
    <mergeCell ref="L2:L3"/>
    <mergeCell ref="M2:M3"/>
    <mergeCell ref="N2:N3"/>
    <mergeCell ref="O2:O3"/>
    <mergeCell ref="R2:R3"/>
    <mergeCell ref="J2:K2"/>
    <mergeCell ref="P2:P3"/>
    <mergeCell ref="S4:S5"/>
    <mergeCell ref="T4:T5"/>
    <mergeCell ref="S2:S3"/>
    <mergeCell ref="A1:T1"/>
    <mergeCell ref="A2:A3"/>
    <mergeCell ref="B2:B3"/>
    <mergeCell ref="C2:C3"/>
    <mergeCell ref="D2:D3"/>
    <mergeCell ref="E2:E3"/>
    <mergeCell ref="F2:F3"/>
    <mergeCell ref="M15:M16"/>
    <mergeCell ref="L15:L16"/>
    <mergeCell ref="D9:D10"/>
    <mergeCell ref="N9:N10"/>
    <mergeCell ref="O9:O10"/>
    <mergeCell ref="E9:E10"/>
    <mergeCell ref="F9:F10"/>
    <mergeCell ref="G9:G10"/>
    <mergeCell ref="H9:H10"/>
    <mergeCell ref="L9:L10"/>
  </mergeCells>
  <phoneticPr fontId="3" type="noConversion"/>
  <hyperlinks>
    <hyperlink ref="S6" r:id="rId1" display="mailto:kevints.le@gmail.com" xr:uid="{74960259-8974-42AD-9D79-3A4E650E9417}"/>
    <hyperlink ref="S7" r:id="rId2" display="mailto:rina.920105@gmail.com" xr:uid="{C0DFBDF6-01AE-4A87-93AA-B034C0C1D9DC}"/>
    <hyperlink ref="S8" r:id="rId3" display="mailto:k.oebphakwaen@gmail.com" xr:uid="{EA5DE428-F1C5-42F1-B6C9-0AF99123BC60}"/>
    <hyperlink ref="S9" r:id="rId4" display="mailto:sprk9258@naver.com" xr:uid="{7D6DDA4B-A8B2-46F6-ADBB-C562D0C30DAD}"/>
    <hyperlink ref="S10" r:id="rId5" display="mailto:jeon000113@naver.com" xr:uid="{F828E1C6-B1FF-44FC-BCAB-743041B9FFDD}"/>
    <hyperlink ref="S11" r:id="rId6" display="mailto:maihonghue.dt12345@gmail.com" xr:uid="{3DF84D78-0D2C-4968-B8E7-F86E2D8AE062}"/>
    <hyperlink ref="S12" r:id="rId7" display="mailto:rkdhgl00@naver.com" xr:uid="{04F3C833-0986-4E7C-9E74-9B0B67F3F424}"/>
    <hyperlink ref="S14" r:id="rId8" display="mailto:isabelle_shimin@hotmail.com" xr:uid="{C21930C0-4A94-4C66-90D9-60AF301C6EE2}"/>
    <hyperlink ref="S15" r:id="rId9" display="mailto:rachelwai90@gmail.com" xr:uid="{6B10D790-14C6-4968-8F25-D86C1B688EA5}"/>
    <hyperlink ref="S16" r:id="rId10" display="mailto:alvin.francisco89@gmail.com" xr:uid="{FD2E362F-F5FD-437C-9ABB-E0964D5E393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5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Liu</dc:creator>
  <cp:lastModifiedBy>Jason Liu</cp:lastModifiedBy>
  <dcterms:created xsi:type="dcterms:W3CDTF">2025-12-08T07:18:34Z</dcterms:created>
  <dcterms:modified xsi:type="dcterms:W3CDTF">2025-12-08T07:19:48Z</dcterms:modified>
</cp:coreProperties>
</file>